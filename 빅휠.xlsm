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My\09.여행\"/>
    </mc:Choice>
  </mc:AlternateContent>
  <xr:revisionPtr revIDLastSave="0" documentId="13_ncr:1_{98D063ED-653A-4DFA-91AC-3E26E5A1F357}" xr6:coauthVersionLast="47" xr6:coauthVersionMax="47" xr10:uidLastSave="{00000000-0000-0000-0000-000000000000}"/>
  <bookViews>
    <workbookView xWindow="28680" yWindow="-120" windowWidth="29040" windowHeight="15720" activeTab="2" xr2:uid="{05C73092-796C-402C-A849-8483757088D0}"/>
  </bookViews>
  <sheets>
    <sheet name="시나리오 피벗 테이블 2" sheetId="10" r:id="rId1"/>
    <sheet name="시나리오 피벗 테이블 3" sheetId="11" r:id="rId2"/>
    <sheet name="Sheet1" sheetId="1" r:id="rId3"/>
  </sheets>
  <definedNames>
    <definedName name="당첨">Sheet1!$F$13</definedName>
    <definedName name="배팅금액_10배수">Sheet1!$E$7</definedName>
    <definedName name="배팅금액_20배수">Sheet1!$E$6</definedName>
    <definedName name="배팅금액_2배수">Sheet1!$E$9</definedName>
    <definedName name="배팅금액_40배수J">Sheet1!$E$5</definedName>
    <definedName name="배팅금액_40배수M">Sheet1!$E$4</definedName>
    <definedName name="배팅금액_5배수">Sheet1!$E$8</definedName>
    <definedName name="베팅금액_1배수">Sheet1!$E$10</definedName>
  </definedNames>
  <calcPr calcId="191029"/>
  <pivotCaches>
    <pivotCache cacheId="0" r:id="rId4"/>
    <pivotCache cacheId="1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4" i="1" l="1"/>
  <c r="A24" i="1"/>
  <c r="M34" i="1"/>
  <c r="A34" i="1"/>
  <c r="M44" i="1"/>
  <c r="A44" i="1"/>
  <c r="M54" i="1"/>
  <c r="A54" i="1"/>
  <c r="M64" i="1"/>
  <c r="A64" i="1"/>
  <c r="M74" i="1"/>
  <c r="A74" i="1"/>
  <c r="M95" i="1"/>
  <c r="M85" i="1"/>
  <c r="A85" i="1"/>
  <c r="A95" i="1"/>
  <c r="F5" i="1" l="1"/>
  <c r="F6" i="1"/>
  <c r="F7" i="1"/>
  <c r="F8" i="1"/>
  <c r="F9" i="1"/>
  <c r="H9" i="1" s="1"/>
  <c r="F10" i="1"/>
  <c r="H10" i="1" s="1"/>
  <c r="F4" i="1"/>
  <c r="J4" i="1" l="1"/>
  <c r="J5" i="1"/>
  <c r="J6" i="1"/>
  <c r="H5" i="1"/>
  <c r="H6" i="1"/>
  <c r="H7" i="1"/>
  <c r="H8" i="1"/>
  <c r="H4" i="1"/>
  <c r="G5" i="1"/>
  <c r="G6" i="1"/>
  <c r="G7" i="1"/>
  <c r="G8" i="1"/>
  <c r="G9" i="1"/>
  <c r="G10" i="1"/>
  <c r="G4" i="1"/>
  <c r="C11" i="1"/>
  <c r="D8" i="1" s="1"/>
  <c r="J8" i="1" s="1"/>
  <c r="D6" i="1" l="1"/>
  <c r="D7" i="1"/>
  <c r="J7" i="1" s="1"/>
  <c r="D5" i="1"/>
  <c r="D4" i="1"/>
  <c r="D10" i="1"/>
  <c r="J10" i="1" s="1"/>
  <c r="D9" i="1"/>
  <c r="J9" i="1" s="1"/>
  <c r="H11" i="1"/>
  <c r="G11" i="1"/>
  <c r="J11" i="1" l="1"/>
  <c r="I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dh.han</author>
  </authors>
  <commentList>
    <comment ref="P10" authorId="0" shapeId="0" xr:uid="{3588CD20-A2F7-4E89-A7F6-3BD8B2E44553}">
      <text>
        <r>
          <rPr>
            <b/>
            <sz val="9"/>
            <color indexed="81"/>
            <rFont val="Tahoma"/>
            <family val="2"/>
          </rPr>
          <t>dh.han:</t>
        </r>
        <r>
          <rPr>
            <sz val="9"/>
            <color indexed="81"/>
            <rFont val="Tahoma"/>
            <family val="2"/>
          </rPr>
          <t xml:space="preserve">
2</t>
        </r>
        <r>
          <rPr>
            <sz val="9"/>
            <color indexed="81"/>
            <rFont val="돋움"/>
            <family val="3"/>
            <charset val="129"/>
          </rPr>
          <t>배에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배팅이</t>
        </r>
        <r>
          <rPr>
            <sz val="9"/>
            <color indexed="81"/>
            <rFont val="Tahoma"/>
            <family val="2"/>
          </rPr>
          <t xml:space="preserve"> 
0~1 -&gt; 0x~4x
2~3 -&gt; 0x~3x
4~5 -&gt; 0x~2x
6~7 -&gt; 0x~1x
8~9 -&gt; 0x</t>
        </r>
      </text>
    </comment>
    <comment ref="O72" authorId="0" shapeId="0" xr:uid="{D2356A5A-781C-4820-92AF-556B1EE19808}">
      <text>
        <r>
          <rPr>
            <sz val="9"/>
            <color indexed="81"/>
            <rFont val="돋움"/>
            <family val="3"/>
            <charset val="129"/>
          </rPr>
          <t>손실액을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그대로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배에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배팅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손실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이후라서</t>
        </r>
        <r>
          <rPr>
            <sz val="9"/>
            <color indexed="81"/>
            <rFont val="Tahoma"/>
            <family val="2"/>
          </rPr>
          <t xml:space="preserve"> 1:1.5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무조건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수익이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배팅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그러나</t>
        </r>
        <r>
          <rPr>
            <sz val="9"/>
            <color indexed="81"/>
            <rFont val="Tahoma"/>
            <family val="2"/>
          </rPr>
          <t xml:space="preserve"> 3000, 4000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배팅시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수익은</t>
        </r>
        <r>
          <rPr>
            <sz val="9"/>
            <color indexed="81"/>
            <rFont val="Tahoma"/>
            <family val="2"/>
          </rPr>
          <t xml:space="preserve"> 1000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  <r>
          <rPr>
            <sz val="9"/>
            <color indexed="81"/>
            <rFont val="Tahoma"/>
            <family val="2"/>
          </rPr>
          <t xml:space="preserve">.
1:1.5 </t>
        </r>
        <r>
          <rPr>
            <sz val="9"/>
            <color indexed="81"/>
            <rFont val="돋움"/>
            <family val="3"/>
            <charset val="129"/>
          </rPr>
          <t>구조에서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수익은</t>
        </r>
        <r>
          <rPr>
            <sz val="9"/>
            <color indexed="81"/>
            <rFont val="Tahoma"/>
            <family val="2"/>
          </rPr>
          <t xml:space="preserve"> 0.5a </t>
        </r>
        <r>
          <rPr>
            <sz val="9"/>
            <color indexed="81"/>
            <rFont val="돋움"/>
            <family val="3"/>
            <charset val="129"/>
          </rPr>
          <t>임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따라서</t>
        </r>
        <r>
          <rPr>
            <sz val="9"/>
            <color indexed="81"/>
            <rFont val="Tahoma"/>
            <family val="2"/>
          </rPr>
          <t xml:space="preserve"> 0.5a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3000 </t>
        </r>
        <r>
          <rPr>
            <sz val="9"/>
            <color indexed="81"/>
            <rFont val="돋움"/>
            <family val="3"/>
            <charset val="129"/>
          </rPr>
          <t>이되려면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배팅액수는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  <r>
          <rPr>
            <sz val="9"/>
            <color indexed="81"/>
            <rFont val="Tahoma"/>
            <family val="2"/>
          </rPr>
          <t xml:space="preserve">.  1a = 6000. -&gt; </t>
        </r>
        <r>
          <rPr>
            <sz val="9"/>
            <color indexed="81"/>
            <rFont val="돋움"/>
            <family val="3"/>
            <charset val="129"/>
          </rPr>
          <t>손실시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손실액의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배팅하라는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게일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배팅법과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동일함</t>
        </r>
        <r>
          <rPr>
            <sz val="9"/>
            <color indexed="81"/>
            <rFont val="Tahoma"/>
            <family val="2"/>
          </rPr>
          <t>.</t>
        </r>
      </text>
    </comment>
    <comment ref="R72" authorId="0" shapeId="0" xr:uid="{22E96352-1B2F-42A2-9A94-2EF08FD480FF}">
      <text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당첨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손실금액을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최소화하기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천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천으로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배팅</t>
        </r>
      </text>
    </comment>
    <comment ref="S72" authorId="0" shapeId="0" xr:uid="{D264A6C1-C252-431A-81F8-6555DD1CD650}">
      <text>
        <r>
          <rPr>
            <sz val="9"/>
            <color indexed="81"/>
            <rFont val="돋움"/>
            <family val="3"/>
            <charset val="129"/>
          </rPr>
          <t>손실금액을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최소화하기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천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천으로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배팅했으나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당첨되어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최소금액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배팅</t>
        </r>
      </text>
    </comment>
    <comment ref="Q83" authorId="0" shapeId="0" xr:uid="{033BDD88-C570-45F0-86E0-46224A22A803}">
      <text>
        <r>
          <rPr>
            <b/>
            <sz val="9"/>
            <color indexed="81"/>
            <rFont val="돋움"/>
            <family val="3"/>
            <charset val="129"/>
          </rPr>
          <t>손실액의</t>
        </r>
        <r>
          <rPr>
            <b/>
            <sz val="9"/>
            <color indexed="81"/>
            <rFont val="Tahoma"/>
            <family val="2"/>
          </rPr>
          <t xml:space="preserve"> 2</t>
        </r>
        <r>
          <rPr>
            <b/>
            <sz val="9"/>
            <color indexed="81"/>
            <rFont val="돋움"/>
            <family val="3"/>
            <charset val="129"/>
          </rPr>
          <t>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배팅</t>
        </r>
      </text>
    </comment>
  </commentList>
</comments>
</file>

<file path=xl/sharedStrings.xml><?xml version="1.0" encoding="utf-8"?>
<sst xmlns="http://schemas.openxmlformats.org/spreadsheetml/2006/main" count="2907" uniqueCount="119">
  <si>
    <t>확률</t>
    <phoneticPr fontId="2" type="noConversion"/>
  </si>
  <si>
    <t>갯수</t>
    <phoneticPr fontId="2" type="noConversion"/>
  </si>
  <si>
    <t>배수</t>
    <phoneticPr fontId="2" type="noConversion"/>
  </si>
  <si>
    <t>이길때</t>
    <phoneticPr fontId="2" type="noConversion"/>
  </si>
  <si>
    <t>질때</t>
    <phoneticPr fontId="2" type="noConversion"/>
  </si>
  <si>
    <t>당첨</t>
    <phoneticPr fontId="2" type="noConversion"/>
  </si>
  <si>
    <t>배팅금액</t>
    <phoneticPr fontId="2" type="noConversion"/>
  </si>
  <si>
    <t>합계</t>
    <phoneticPr fontId="2" type="noConversion"/>
  </si>
  <si>
    <t>수익</t>
    <phoneticPr fontId="2" type="noConversion"/>
  </si>
  <si>
    <t>우승확률</t>
    <phoneticPr fontId="2" type="noConversion"/>
  </si>
  <si>
    <t>행 레이블</t>
  </si>
  <si>
    <t>$I$11</t>
  </si>
  <si>
    <t>(모두)</t>
  </si>
  <si>
    <t>배팅금액_5배수 작성자</t>
  </si>
  <si>
    <t>배팅금액_2배수 작성자</t>
  </si>
  <si>
    <t>베팅금액_1배수 작성자</t>
  </si>
  <si>
    <t>열 레이블</t>
  </si>
  <si>
    <t>이름</t>
    <phoneticPr fontId="2" type="noConversion"/>
  </si>
  <si>
    <t>20배</t>
    <phoneticPr fontId="2" type="noConversion"/>
  </si>
  <si>
    <t>10배</t>
    <phoneticPr fontId="2" type="noConversion"/>
  </si>
  <si>
    <t>5배</t>
    <phoneticPr fontId="2" type="noConversion"/>
  </si>
  <si>
    <t>2배</t>
    <phoneticPr fontId="2" type="noConversion"/>
  </si>
  <si>
    <t>1배</t>
    <phoneticPr fontId="2" type="noConversion"/>
  </si>
  <si>
    <t>40배-Mega</t>
    <phoneticPr fontId="2" type="noConversion"/>
  </si>
  <si>
    <t>40배-Joker</t>
    <phoneticPr fontId="2" type="noConversion"/>
  </si>
  <si>
    <t>당첨_10배</t>
  </si>
  <si>
    <t>당첨_20배</t>
  </si>
  <si>
    <t>당첨 작성자</t>
  </si>
  <si>
    <t>당첨_01배</t>
  </si>
  <si>
    <t>당첨_02배</t>
  </si>
  <si>
    <t>당첨_05배</t>
  </si>
  <si>
    <t>당첨_40배J</t>
  </si>
  <si>
    <t>당첨_40배M</t>
  </si>
  <si>
    <t>05배_0</t>
  </si>
  <si>
    <t>02배_0</t>
  </si>
  <si>
    <t>01배_0</t>
  </si>
  <si>
    <t>10배_0</t>
  </si>
  <si>
    <t>10배_1000</t>
  </si>
  <si>
    <t>10배_2000</t>
  </si>
  <si>
    <t>10배_3000</t>
  </si>
  <si>
    <t>10배_4000</t>
  </si>
  <si>
    <t>01배_1000</t>
  </si>
  <si>
    <t>01배_2000</t>
  </si>
  <si>
    <t>01배_3000</t>
  </si>
  <si>
    <t>01배_4000</t>
  </si>
  <si>
    <t>02배_1000</t>
  </si>
  <si>
    <t>02배_2000</t>
  </si>
  <si>
    <t>02배_3000</t>
  </si>
  <si>
    <t>02배_4000</t>
  </si>
  <si>
    <t>05배_1000</t>
  </si>
  <si>
    <t>05배_2000</t>
  </si>
  <si>
    <t>05배_3000</t>
  </si>
  <si>
    <t>05배_4000</t>
  </si>
  <si>
    <t>배팅금액_10배수 작성자</t>
  </si>
  <si>
    <t>01배_5000</t>
  </si>
  <si>
    <t>01배_6000</t>
  </si>
  <si>
    <t>01배_7000</t>
  </si>
  <si>
    <t>01배_8000</t>
  </si>
  <si>
    <t>01배_9000</t>
  </si>
  <si>
    <t>02배_5000</t>
  </si>
  <si>
    <t>02배_6000</t>
  </si>
  <si>
    <t>02배_7000</t>
  </si>
  <si>
    <t>02배_8000</t>
  </si>
  <si>
    <t>02배_9000</t>
  </si>
  <si>
    <t>1x</t>
    <phoneticPr fontId="2" type="noConversion"/>
  </si>
  <si>
    <t>1x~2x</t>
    <phoneticPr fontId="2" type="noConversion"/>
  </si>
  <si>
    <t>1x~4x</t>
    <phoneticPr fontId="2" type="noConversion"/>
  </si>
  <si>
    <t>0x~9x</t>
    <phoneticPr fontId="2" type="noConversion"/>
  </si>
  <si>
    <t>4-(n-1)1/2</t>
    <phoneticPr fontId="2" type="noConversion"/>
  </si>
  <si>
    <t>1.5x</t>
    <phoneticPr fontId="2" type="noConversion"/>
  </si>
  <si>
    <t>1.5x~3x</t>
    <phoneticPr fontId="2" type="noConversion"/>
  </si>
  <si>
    <t>1이 나올 확률이 적을 때에만 사용</t>
    <phoneticPr fontId="2" type="noConversion"/>
  </si>
  <si>
    <t>주로 1, 2에 사용</t>
    <phoneticPr fontId="2" type="noConversion"/>
  </si>
  <si>
    <t>2000,3000 기본 배팅, 손실의 2배 배팅</t>
    <phoneticPr fontId="2" type="noConversion"/>
  </si>
  <si>
    <t>2000,3000 기본 배팅, 손실의 2배 배팅 -&gt; 수익보다는 손실을 관리하는 방법, 여러번해도 큰 돈이 모이지는 않는다.</t>
    <phoneticPr fontId="2" type="noConversion"/>
  </si>
  <si>
    <t>2000,3000 기본 배팅, 수익을 더해서 배팅, 손실 2배 배팅 -&gt; 연속 실패시 배팅 금액 초과로 게임할 수 없음. 실전 적용 x</t>
    <phoneticPr fontId="2" type="noConversion"/>
  </si>
  <si>
    <t>2000,3000 기본 배팅, 수익의 2배 배팅, 손실시 &amp; 2번 연속 수익시 기본 배팅</t>
    <phoneticPr fontId="2" type="noConversion"/>
  </si>
  <si>
    <t>2000,3000 기본배팅, 수익2번시 1000,1000 또는 1000,2000 배팅, 손실액 더해서 배팅</t>
    <phoneticPr fontId="2" type="noConversion"/>
  </si>
  <si>
    <t>* 2배:1배 = 1:1.5 이면, 0.5만큼 수익이 발생한다.</t>
    <phoneticPr fontId="2" type="noConversion"/>
  </si>
  <si>
    <t>* 2배:1배 = 1:1   이면, 2배 당첨시 1만큼 수익이 발생한다.</t>
    <phoneticPr fontId="2" type="noConversion"/>
  </si>
  <si>
    <t>* 2배:1배 = 1:2   이면, 1배 당첨시 1만큼 수익이 발생한다.</t>
    <phoneticPr fontId="2" type="noConversion"/>
  </si>
  <si>
    <t xml:space="preserve"> - 2배:1배에 2천,3천 배팅하나 3천,4천 배팅하나 당첨 수익은 같다.</t>
    <phoneticPr fontId="2" type="noConversion"/>
  </si>
  <si>
    <t xml:space="preserve"> - 따라서 손실리스크 금액이 적은 2천,3천으로 배팅해야 한다.</t>
    <phoneticPr fontId="2" type="noConversion"/>
  </si>
  <si>
    <t>* 2배:1배는 최소 1:1로 걸어야 한다. 그래야 손실이 발생하지 않는다. 즉, 배당이 낮은 곳에는 더 높은 금액을 배팅해야 한다. 그렇지 않으면 손실보는 구조임.</t>
    <phoneticPr fontId="2" type="noConversion"/>
  </si>
  <si>
    <t>1:1, 1:1.5, 1:2에서 자유 배팅. 손실 또는 수익2번시 최소금액 배팅</t>
    <phoneticPr fontId="2" type="noConversion"/>
  </si>
  <si>
    <t>1배</t>
    <phoneticPr fontId="2" type="noConversion"/>
  </si>
  <si>
    <t>2배 배팅</t>
    <phoneticPr fontId="2" type="noConversion"/>
  </si>
  <si>
    <t>최소금액</t>
    <phoneticPr fontId="2" type="noConversion"/>
  </si>
  <si>
    <t>손실 후 2번째 라운드에 배팅</t>
    <phoneticPr fontId="2" type="noConversion"/>
  </si>
  <si>
    <t>2번 수익 후 최소금액</t>
    <phoneticPr fontId="2" type="noConversion"/>
  </si>
  <si>
    <t>확률이 높은 1배에 배팅</t>
    <phoneticPr fontId="2" type="noConversion"/>
  </si>
  <si>
    <t>확률이 가장 높은 1배에 배팅</t>
    <phoneticPr fontId="2" type="noConversion"/>
  </si>
  <si>
    <t>1:1, 1:1.5, 1:2에서 자유 배팅, 손실 후 2번째 수익에 배팅(1배 확률이 가장 높으므로) -&gt; 계속 하다보니 적은 금액 배팅에서는, 1:1, 1:2가 가장 좋은 것 같음. (손실액이 적으므로)</t>
    <phoneticPr fontId="2" type="noConversion"/>
  </si>
  <si>
    <t>3번 연속 1,2배가 나오면 한번은 멈추자. 계속 거는 것은 의미없음.</t>
    <phoneticPr fontId="2" type="noConversion"/>
  </si>
  <si>
    <t>손실보전을 위해</t>
    <phoneticPr fontId="2" type="noConversion"/>
  </si>
  <si>
    <t>손실 후 1배에 최소금액 배팅</t>
    <phoneticPr fontId="2" type="noConversion"/>
  </si>
  <si>
    <t>최소금액배팅. 관망</t>
    <phoneticPr fontId="2" type="noConversion"/>
  </si>
  <si>
    <t>70%의 확률로 승리하는 것이므로, 3번에 1번은 진다라고 생각하고 최소배팅</t>
    <phoneticPr fontId="2" type="noConversion"/>
  </si>
  <si>
    <t>시작은 최소배팅</t>
    <phoneticPr fontId="2" type="noConversion"/>
  </si>
  <si>
    <t>1배에 배팅</t>
    <phoneticPr fontId="2" type="noConversion"/>
  </si>
  <si>
    <t>손실액 2배 배팅</t>
    <phoneticPr fontId="2" type="noConversion"/>
  </si>
  <si>
    <t>최소배팅</t>
    <phoneticPr fontId="2" type="noConversion"/>
  </si>
  <si>
    <t>5번째 시작은 최소배팅</t>
    <phoneticPr fontId="2" type="noConversion"/>
  </si>
  <si>
    <t>1. 72% 확률이므로 5번에 3번은 승리, 1번은 패배, 1번은 반반으로 생각</t>
    <phoneticPr fontId="2" type="noConversion"/>
  </si>
  <si>
    <t>2. 계속</t>
    <phoneticPr fontId="2" type="noConversion"/>
  </si>
  <si>
    <t>3. 계속</t>
    <phoneticPr fontId="2" type="noConversion"/>
  </si>
  <si>
    <t>4. 계속</t>
    <phoneticPr fontId="2" type="noConversion"/>
  </si>
  <si>
    <t>5. 계속</t>
    <phoneticPr fontId="2" type="noConversion"/>
  </si>
  <si>
    <t>2번 당첨 후 최소배팅</t>
    <phoneticPr fontId="2" type="noConversion"/>
  </si>
  <si>
    <t>쉼</t>
    <phoneticPr fontId="2" type="noConversion"/>
  </si>
  <si>
    <t>6. 계속</t>
    <phoneticPr fontId="2" type="noConversion"/>
  </si>
  <si>
    <t>이전5번에 당첨외가 1번, 이번은 확률상 당첨이 반반</t>
    <phoneticPr fontId="2" type="noConversion"/>
  </si>
  <si>
    <t>이전 5번 모두 당첨 최소배팅</t>
    <phoneticPr fontId="2" type="noConversion"/>
  </si>
  <si>
    <t>이전 5번 모두 당첨. 쉼</t>
    <phoneticPr fontId="2" type="noConversion"/>
  </si>
  <si>
    <t>이전 7번 모두 당첨. 쉼</t>
    <phoneticPr fontId="2" type="noConversion"/>
  </si>
  <si>
    <t>7. 계속</t>
    <phoneticPr fontId="2" type="noConversion"/>
  </si>
  <si>
    <t>최소배팅 시작</t>
    <phoneticPr fontId="2" type="noConversion"/>
  </si>
  <si>
    <t>손실보전배팅</t>
    <phoneticPr fontId="2" type="noConversion"/>
  </si>
  <si>
    <t>8. 계속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</si>
</sst>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n">
        <color auto="1"/>
      </bottom>
      <diagonal/>
    </border>
    <border>
      <left style="thick">
        <color rgb="FFC00000"/>
      </left>
      <right style="thick">
        <color rgb="FFC00000"/>
      </right>
      <top style="thin">
        <color auto="1"/>
      </top>
      <bottom style="hair">
        <color auto="1"/>
      </bottom>
      <diagonal/>
    </border>
    <border>
      <left style="thick">
        <color rgb="FFC00000"/>
      </left>
      <right style="thick">
        <color rgb="FFC00000"/>
      </right>
      <top style="hair">
        <color auto="1"/>
      </top>
      <bottom style="hair">
        <color auto="1"/>
      </bottom>
      <diagonal/>
    </border>
    <border>
      <left style="thick">
        <color rgb="FFC00000"/>
      </left>
      <right style="thick">
        <color rgb="FFC00000"/>
      </right>
      <top style="hair">
        <color auto="1"/>
      </top>
      <bottom style="thick">
        <color rgb="FFC00000"/>
      </bottom>
      <diagonal/>
    </border>
    <border>
      <left style="thick">
        <color rgb="FFC00000"/>
      </left>
      <right/>
      <top style="thick">
        <color rgb="FFC00000"/>
      </top>
      <bottom/>
      <diagonal/>
    </border>
    <border>
      <left/>
      <right style="thick">
        <color rgb="FFC00000"/>
      </right>
      <top style="thick">
        <color rgb="FFC00000"/>
      </top>
      <bottom/>
      <diagonal/>
    </border>
    <border>
      <left style="thick">
        <color rgb="FFC00000"/>
      </left>
      <right/>
      <top/>
      <bottom/>
      <diagonal/>
    </border>
    <border>
      <left/>
      <right style="thick">
        <color rgb="FFC00000"/>
      </right>
      <top/>
      <bottom/>
      <diagonal/>
    </border>
    <border>
      <left style="thick">
        <color rgb="FFC00000"/>
      </left>
      <right/>
      <top/>
      <bottom style="thick">
        <color rgb="FFC00000"/>
      </bottom>
      <diagonal/>
    </border>
    <border>
      <left/>
      <right style="thick">
        <color rgb="FFC00000"/>
      </right>
      <top/>
      <bottom style="thick">
        <color rgb="FFC00000"/>
      </bottom>
      <diagonal/>
    </border>
    <border>
      <left/>
      <right/>
      <top style="thin">
        <color auto="1"/>
      </top>
      <bottom/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9" fontId="0" fillId="0" borderId="0" xfId="2" applyFont="1">
      <alignment vertical="center"/>
    </xf>
    <xf numFmtId="41" fontId="0" fillId="0" borderId="0" xfId="1" applyFont="1">
      <alignment vertical="center"/>
    </xf>
    <xf numFmtId="9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4" xfId="0" applyBorder="1">
      <alignment vertical="center"/>
    </xf>
    <xf numFmtId="41" fontId="4" fillId="0" borderId="4" xfId="0" applyNumberFormat="1" applyFont="1" applyBorder="1">
      <alignment vertical="center"/>
    </xf>
    <xf numFmtId="0" fontId="3" fillId="3" borderId="5" xfId="0" applyFont="1" applyFill="1" applyBorder="1">
      <alignment vertical="center"/>
    </xf>
    <xf numFmtId="0" fontId="3" fillId="3" borderId="6" xfId="0" applyFont="1" applyFill="1" applyBorder="1" applyAlignment="1">
      <alignment horizontal="center" vertical="center"/>
    </xf>
    <xf numFmtId="41" fontId="3" fillId="3" borderId="6" xfId="1" applyFont="1" applyFill="1" applyBorder="1" applyAlignment="1">
      <alignment horizontal="center" vertical="center"/>
    </xf>
    <xf numFmtId="41" fontId="3" fillId="3" borderId="7" xfId="1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3" fillId="3" borderId="14" xfId="0" applyFont="1" applyFill="1" applyBorder="1" applyAlignment="1">
      <alignment horizontal="center" vertical="center"/>
    </xf>
    <xf numFmtId="0" fontId="0" fillId="4" borderId="18" xfId="0" applyFill="1" applyBorder="1">
      <alignment vertical="center"/>
    </xf>
    <xf numFmtId="0" fontId="0" fillId="4" borderId="15" xfId="0" applyFill="1" applyBorder="1">
      <alignment vertical="center"/>
    </xf>
    <xf numFmtId="0" fontId="0" fillId="4" borderId="2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6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7" xfId="0" applyFill="1" applyBorder="1">
      <alignment vertical="center"/>
    </xf>
    <xf numFmtId="0" fontId="0" fillId="4" borderId="12" xfId="0" applyFill="1" applyBorder="1">
      <alignment vertical="center"/>
    </xf>
    <xf numFmtId="41" fontId="0" fillId="4" borderId="2" xfId="1" applyFont="1" applyFill="1" applyBorder="1">
      <alignment vertical="center"/>
    </xf>
    <xf numFmtId="9" fontId="0" fillId="4" borderId="8" xfId="2" applyFont="1" applyFill="1" applyBorder="1">
      <alignment vertical="center"/>
    </xf>
    <xf numFmtId="41" fontId="0" fillId="4" borderId="3" xfId="1" applyFont="1" applyFill="1" applyBorder="1">
      <alignment vertical="center"/>
    </xf>
    <xf numFmtId="9" fontId="0" fillId="4" borderId="10" xfId="2" applyFont="1" applyFill="1" applyBorder="1">
      <alignment vertical="center"/>
    </xf>
    <xf numFmtId="41" fontId="0" fillId="4" borderId="12" xfId="1" applyFont="1" applyFill="1" applyBorder="1">
      <alignment vertical="center"/>
    </xf>
    <xf numFmtId="9" fontId="0" fillId="4" borderId="13" xfId="2" applyFont="1" applyFill="1" applyBorder="1">
      <alignment vertical="center"/>
    </xf>
    <xf numFmtId="41" fontId="0" fillId="3" borderId="4" xfId="1" applyFont="1" applyFill="1" applyBorder="1">
      <alignment vertical="center"/>
    </xf>
    <xf numFmtId="9" fontId="5" fillId="3" borderId="4" xfId="2" applyFont="1" applyFill="1" applyBorder="1">
      <alignment vertical="center"/>
    </xf>
    <xf numFmtId="0" fontId="3" fillId="3" borderId="19" xfId="0" applyFont="1" applyFill="1" applyBorder="1" applyAlignment="1">
      <alignment horizontal="center" vertical="center"/>
    </xf>
    <xf numFmtId="9" fontId="0" fillId="4" borderId="20" xfId="2" applyFont="1" applyFill="1" applyBorder="1">
      <alignment vertical="center"/>
    </xf>
    <xf numFmtId="9" fontId="0" fillId="4" borderId="21" xfId="2" applyFont="1" applyFill="1" applyBorder="1">
      <alignment vertical="center"/>
    </xf>
    <xf numFmtId="9" fontId="0" fillId="4" borderId="22" xfId="2" applyFont="1" applyFill="1" applyBorder="1">
      <alignment vertical="center"/>
    </xf>
    <xf numFmtId="41" fontId="3" fillId="3" borderId="14" xfId="1" applyFont="1" applyFill="1" applyBorder="1" applyAlignment="1">
      <alignment horizontal="center" vertical="center"/>
    </xf>
    <xf numFmtId="41" fontId="0" fillId="4" borderId="15" xfId="1" applyFont="1" applyFill="1" applyBorder="1">
      <alignment vertical="center"/>
    </xf>
    <xf numFmtId="41" fontId="0" fillId="4" borderId="16" xfId="1" applyFont="1" applyFill="1" applyBorder="1">
      <alignment vertical="center"/>
    </xf>
    <xf numFmtId="41" fontId="0" fillId="3" borderId="6" xfId="1" applyFont="1" applyFill="1" applyBorder="1">
      <alignment vertical="center"/>
    </xf>
    <xf numFmtId="41" fontId="0" fillId="0" borderId="23" xfId="1" applyFont="1" applyBorder="1">
      <alignment vertical="center"/>
    </xf>
    <xf numFmtId="41" fontId="0" fillId="4" borderId="24" xfId="1" applyFont="1" applyFill="1" applyBorder="1">
      <alignment vertical="center"/>
    </xf>
    <xf numFmtId="41" fontId="3" fillId="3" borderId="25" xfId="1" applyFont="1" applyFill="1" applyBorder="1" applyAlignment="1">
      <alignment horizontal="center" vertical="center"/>
    </xf>
    <xf numFmtId="41" fontId="0" fillId="0" borderId="26" xfId="1" applyFont="1" applyBorder="1">
      <alignment vertical="center"/>
    </xf>
    <xf numFmtId="41" fontId="0" fillId="0" borderId="27" xfId="1" applyFont="1" applyBorder="1">
      <alignment vertical="center"/>
    </xf>
    <xf numFmtId="41" fontId="0" fillId="0" borderId="28" xfId="1" applyFont="1" applyBorder="1">
      <alignment vertical="center"/>
    </xf>
    <xf numFmtId="0" fontId="0" fillId="0" borderId="0" xfId="0" applyAlignment="1">
      <alignment horizontal="left" vertical="center" indent="3"/>
    </xf>
    <xf numFmtId="0" fontId="0" fillId="2" borderId="0" xfId="0" applyFill="1" applyAlignment="1">
      <alignment horizontal="left" vertical="center" indent="3"/>
    </xf>
    <xf numFmtId="0" fontId="0" fillId="0" borderId="29" xfId="0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0" borderId="34" xfId="0" applyBorder="1">
      <alignment vertical="center"/>
    </xf>
    <xf numFmtId="0" fontId="0" fillId="2" borderId="0" xfId="0" applyFill="1" applyAlignment="1">
      <alignment horizontal="left" vertical="center" indent="2"/>
    </xf>
    <xf numFmtId="9" fontId="0" fillId="0" borderId="0" xfId="1" applyNumberFormat="1" applyFont="1">
      <alignment vertical="center"/>
    </xf>
    <xf numFmtId="0" fontId="0" fillId="2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1" xfId="0" applyFill="1" applyBorder="1">
      <alignment vertical="center"/>
    </xf>
    <xf numFmtId="0" fontId="0" fillId="0" borderId="35" xfId="0" applyFill="1" applyBorder="1">
      <alignment vertical="center"/>
    </xf>
    <xf numFmtId="41" fontId="0" fillId="0" borderId="0" xfId="1" applyFont="1" applyFill="1">
      <alignment vertical="center"/>
    </xf>
    <xf numFmtId="0" fontId="0" fillId="5" borderId="0" xfId="0" applyFill="1">
      <alignment vertical="center"/>
    </xf>
    <xf numFmtId="0" fontId="0" fillId="5" borderId="1" xfId="0" applyFill="1" applyBorder="1">
      <alignment vertical="center"/>
    </xf>
    <xf numFmtId="47" fontId="0" fillId="0" borderId="0" xfId="0" applyNumberFormat="1" applyFill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57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</xdr:row>
          <xdr:rowOff>219075</xdr:rowOff>
        </xdr:from>
        <xdr:to>
          <xdr:col>9</xdr:col>
          <xdr:colOff>0</xdr:colOff>
          <xdr:row>13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 BigWheel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h.han" refreshedDate="45379.663713078706" createdVersion="8" refreshedVersion="8" minRefreshableVersion="3" recordCount="4375" xr:uid="{4EE73DEE-2908-4BFA-B982-2490E7523780}">
  <cacheSource type="scenario"/>
  <cacheFields count="11">
    <cacheField name="배팅금액_5배수" numFmtId="0">
      <sharedItems containsNonDate="0" count="5">
        <s v="05배_1000"/>
        <s v="05배_2000"/>
        <s v="05배_3000"/>
        <s v="05배_4000"/>
        <s v="05배_0"/>
      </sharedItems>
    </cacheField>
    <cacheField name="배팅금액_2배수" numFmtId="0">
      <sharedItems containsNonDate="0" count="6">
        <s v="05배_2000"/>
        <s v="02배_2000"/>
        <s v="02배_3000"/>
        <s v="02배_4000"/>
        <s v="02배_0"/>
        <s v="02배_1000"/>
      </sharedItems>
    </cacheField>
    <cacheField name="베팅금액_1배수" numFmtId="0">
      <sharedItems containsNonDate="0" count="6">
        <s v="05배_3000"/>
        <s v="01배_2000"/>
        <s v="01배_3000"/>
        <s v="01배_4000"/>
        <s v="01배_0"/>
        <s v="01배_1000"/>
      </sharedItems>
    </cacheField>
    <cacheField name="당첨" numFmtId="0">
      <sharedItems containsNonDate="0" count="8">
        <s v="05배_4000"/>
        <s v="당첨_40배J"/>
        <s v="당첨_20배"/>
        <s v="당첨_10배"/>
        <s v="당첨_05배"/>
        <s v="당첨_01배"/>
        <s v="당첨_02배"/>
        <s v="당첨_40배M"/>
      </sharedItems>
    </cacheField>
    <cacheField name="배팅금액_10배수" numFmtId="0">
      <sharedItems containsNonDate="0" count="5">
        <s v="10배_0"/>
        <s v="10배_1000"/>
        <s v="10배_2000"/>
        <s v="10배_3000"/>
        <s v="10배_4000"/>
      </sharedItems>
    </cacheField>
    <cacheField name="배팅금액_5배수 작성자" numFmtId="0">
      <sharedItems containsNonDate="0" count="1">
        <s v="dh.han"/>
      </sharedItems>
    </cacheField>
    <cacheField name="배팅금액_2배수 작성자" numFmtId="0">
      <sharedItems containsNonDate="0" count="1">
        <s v="dh.han"/>
      </sharedItems>
    </cacheField>
    <cacheField name="베팅금액_1배수 작성자" numFmtId="0">
      <sharedItems containsNonDate="0" count="1">
        <s v="dh.han"/>
      </sharedItems>
    </cacheField>
    <cacheField name="당첨 작성자" numFmtId="0">
      <sharedItems containsNonDate="0" count="1">
        <s v="dh.han"/>
      </sharedItems>
    </cacheField>
    <cacheField name="배팅금액_10배수 작성자" numFmtId="0">
      <sharedItems containsNonDate="0" count="1">
        <s v="dh.han"/>
      </sharedItems>
    </cacheField>
    <cacheField name="결과 $I$11" numFmtId="0">
      <sharedItems containsSemiMixedTypes="0" containsNonDate="0" containsString="0" containsNumber="1" containsInteger="1" minValue="-16000" maxValue="4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h.han" refreshedDate="45383.531732291667" createdVersion="8" refreshedVersion="8" minRefreshableVersion="3" recordCount="17500" xr:uid="{917D8282-F8D5-4F34-BD58-81597D356806}">
  <cacheSource type="scenario"/>
  <cacheFields count="11">
    <cacheField name="배팅금액_5배수" numFmtId="0">
      <sharedItems containsNonDate="0" count="5">
        <s v="05배_1000"/>
        <s v="05배_2000"/>
        <s v="05배_3000"/>
        <s v="05배_4000"/>
        <s v="05배_0"/>
      </sharedItems>
    </cacheField>
    <cacheField name="배팅금액_2배수" numFmtId="0">
      <sharedItems containsNonDate="0" count="11">
        <s v="05배_2000"/>
        <s v="02배_2000"/>
        <s v="02배_3000"/>
        <s v="02배_4000"/>
        <s v="02배_0"/>
        <s v="02배_5000"/>
        <s v="02배_6000"/>
        <s v="02배_7000"/>
        <s v="02배_8000"/>
        <s v="02배_9000"/>
        <s v="02배_1000"/>
      </sharedItems>
    </cacheField>
    <cacheField name="베팅금액_1배수" numFmtId="0">
      <sharedItems containsNonDate="0" count="11">
        <s v="05배_3000"/>
        <s v="01배_2000"/>
        <s v="01배_3000"/>
        <s v="01배_4000"/>
        <s v="01배_0"/>
        <s v="01배_5000"/>
        <s v="01배_6000"/>
        <s v="01배_7000"/>
        <s v="01배_8000"/>
        <s v="01배_9000"/>
        <s v="01배_1000"/>
      </sharedItems>
    </cacheField>
    <cacheField name="당첨" numFmtId="0">
      <sharedItems containsNonDate="0" count="8">
        <s v="05배_4000"/>
        <s v="당첨_40배J"/>
        <s v="당첨_20배"/>
        <s v="당첨_10배"/>
        <s v="당첨_05배"/>
        <s v="당첨_01배"/>
        <s v="당첨_02배"/>
        <s v="당첨_40배M"/>
      </sharedItems>
    </cacheField>
    <cacheField name="배팅금액_10배수" numFmtId="0">
      <sharedItems containsNonDate="0" count="5">
        <s v="10배_0"/>
        <s v="10배_1000"/>
        <s v="10배_2000"/>
        <s v="10배_3000"/>
        <s v="10배_4000"/>
      </sharedItems>
    </cacheField>
    <cacheField name="배팅금액_5배수 작성자" numFmtId="0">
      <sharedItems containsNonDate="0" count="1">
        <s v="dh.han"/>
      </sharedItems>
    </cacheField>
    <cacheField name="배팅금액_2배수 작성자" numFmtId="0">
      <sharedItems containsNonDate="0" count="1">
        <s v="dh.han"/>
      </sharedItems>
    </cacheField>
    <cacheField name="베팅금액_1배수 작성자" numFmtId="0">
      <sharedItems containsNonDate="0" count="1">
        <s v="dh.han"/>
      </sharedItems>
    </cacheField>
    <cacheField name="당첨 작성자" numFmtId="0">
      <sharedItems containsNonDate="0" count="1">
        <s v="dh.han"/>
      </sharedItems>
    </cacheField>
    <cacheField name="배팅금액_10배수 작성자" numFmtId="0">
      <sharedItems containsNonDate="0" count="1">
        <s v="dh.han"/>
      </sharedItems>
    </cacheField>
    <cacheField name="결과 $I$11" numFmtId="0">
      <sharedItems containsSemiMixedTypes="0" containsNonDate="0" containsString="0" containsNumber="1" containsInteger="1" minValue="-26000" maxValue="4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3D5A0-BBD4-41D9-94A7-AD3B53C1D6A7}" name="피벗 테이블9" cacheId="0" applyNumberFormats="0" applyBorderFormats="0" applyFontFormats="0" applyPatternFormats="0" applyAlignmentFormats="0" applyWidthHeightFormats="1" dataCaption="값" updatedVersion="8" minRefreshableVersion="3" useAutoFormatting="1" rowGrandTotals="0" colGrandTotals="0" itemPrintTitles="1" createdVersion="8" indent="0" outline="1" outlineData="1" multipleFieldFilters="0" fieldListSortAscending="1">
  <location ref="A7:H67" firstHeaderRow="1" firstDataRow="2" firstDataCol="1" rowPageCount="5" colPageCount="1"/>
  <pivotFields count="11">
    <pivotField axis="axisRow" showAll="0" defaultSubtotal="0">
      <items count="5">
        <item x="4"/>
        <item x="0"/>
        <item sd="0" x="1"/>
        <item sd="0" x="2"/>
        <item sd="0" x="3"/>
      </items>
    </pivotField>
    <pivotField axis="axisRow" showAll="0" defaultSubtotal="0">
      <items count="6">
        <item sd="0" x="4"/>
        <item x="5"/>
        <item x="1"/>
        <item x="2"/>
        <item x="3"/>
        <item x="0"/>
      </items>
    </pivotField>
    <pivotField axis="axisRow" showAll="0" defaultSubtotal="0">
      <items count="6">
        <item x="4"/>
        <item x="5"/>
        <item x="1"/>
        <item x="2"/>
        <item x="3"/>
        <item h="1" x="0"/>
      </items>
    </pivotField>
    <pivotField axis="axisCol" showAll="0" defaultSubtotal="0">
      <items count="8">
        <item h="1" x="0"/>
        <item x="5"/>
        <item x="6"/>
        <item x="4"/>
        <item sd="0" x="3"/>
        <item sd="0" x="2"/>
        <item sd="0" x="1"/>
        <item sd="0" x="7"/>
      </items>
    </pivotField>
    <pivotField axis="axisRow" showAll="0" defaultSubtotal="0">
      <items count="5">
        <item x="0"/>
        <item sd="0" x="1"/>
        <item sd="0" x="2"/>
        <item sd="0" x="3"/>
        <item sd="0" x="4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dataField="1" showAll="0"/>
  </pivotFields>
  <rowFields count="4">
    <field x="4"/>
    <field x="0"/>
    <field x="1"/>
    <field x="2"/>
  </rowFields>
  <rowItems count="59">
    <i>
      <x/>
    </i>
    <i r="1">
      <x/>
    </i>
    <i r="2">
      <x/>
    </i>
    <i r="2">
      <x v="1"/>
    </i>
    <i r="3">
      <x/>
    </i>
    <i r="3">
      <x v="1"/>
    </i>
    <i r="3">
      <x v="2"/>
    </i>
    <i r="3">
      <x v="3"/>
    </i>
    <i r="3">
      <x v="4"/>
    </i>
    <i r="2">
      <x v="2"/>
    </i>
    <i r="3">
      <x/>
    </i>
    <i r="3">
      <x v="1"/>
    </i>
    <i r="3">
      <x v="2"/>
    </i>
    <i r="3">
      <x v="3"/>
    </i>
    <i r="3">
      <x v="4"/>
    </i>
    <i r="2">
      <x v="3"/>
    </i>
    <i r="3">
      <x/>
    </i>
    <i r="3">
      <x v="1"/>
    </i>
    <i r="3">
      <x v="2"/>
    </i>
    <i r="3">
      <x v="3"/>
    </i>
    <i r="3">
      <x v="4"/>
    </i>
    <i r="2">
      <x v="4"/>
    </i>
    <i r="3">
      <x/>
    </i>
    <i r="3">
      <x v="1"/>
    </i>
    <i r="3">
      <x v="2"/>
    </i>
    <i r="3">
      <x v="3"/>
    </i>
    <i r="3">
      <x v="4"/>
    </i>
    <i r="1">
      <x v="1"/>
    </i>
    <i r="2">
      <x/>
    </i>
    <i r="2">
      <x v="2"/>
    </i>
    <i r="3">
      <x/>
    </i>
    <i r="3">
      <x v="1"/>
    </i>
    <i r="3">
      <x v="2"/>
    </i>
    <i r="3">
      <x v="3"/>
    </i>
    <i r="3">
      <x v="4"/>
    </i>
    <i r="2">
      <x v="3"/>
    </i>
    <i r="3">
      <x/>
    </i>
    <i r="3">
      <x v="1"/>
    </i>
    <i r="3">
      <x v="2"/>
    </i>
    <i r="3">
      <x v="3"/>
    </i>
    <i r="3">
      <x v="4"/>
    </i>
    <i r="2">
      <x v="4"/>
    </i>
    <i r="3">
      <x/>
    </i>
    <i r="3">
      <x v="1"/>
    </i>
    <i r="3">
      <x v="2"/>
    </i>
    <i r="3">
      <x v="3"/>
    </i>
    <i r="3">
      <x v="4"/>
    </i>
    <i r="2">
      <x v="5"/>
    </i>
    <i r="3">
      <x/>
    </i>
    <i r="3">
      <x v="2"/>
    </i>
    <i r="3">
      <x v="3"/>
    </i>
    <i r="3">
      <x v="4"/>
    </i>
    <i r="1">
      <x v="2"/>
    </i>
    <i r="1">
      <x v="3"/>
    </i>
    <i r="1">
      <x v="4"/>
    </i>
    <i>
      <x v="1"/>
    </i>
    <i>
      <x v="2"/>
    </i>
    <i>
      <x v="3"/>
    </i>
    <i>
      <x v="4"/>
    </i>
  </rowItems>
  <colFields count="1">
    <field x="3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5">
    <pageField fld="5" hier="-1"/>
    <pageField fld="6" hier="-1"/>
    <pageField fld="7" hier="-1"/>
    <pageField fld="8" hier="-1"/>
    <pageField fld="9" hier="-1"/>
  </pageFields>
  <dataFields count="1">
    <dataField name="$I$11" fld="10" baseField="0" baseItem="0"/>
  </dataFields>
  <formats count="6">
    <format dxfId="56">
      <pivotArea dataOnly="0" labelOnly="1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2" count="1">
            <x v="3"/>
          </reference>
          <reference field="4" count="1" selected="0">
            <x v="0"/>
          </reference>
        </references>
      </pivotArea>
    </format>
    <format dxfId="55">
      <pivotArea dataOnly="0" labelOnly="1" fieldPosition="0">
        <references count="4">
          <reference field="0" count="1" selected="0">
            <x v="0"/>
          </reference>
          <reference field="1" count="1" selected="0">
            <x v="3"/>
          </reference>
          <reference field="2" count="1">
            <x v="4"/>
          </reference>
          <reference field="4" count="1" selected="0">
            <x v="0"/>
          </reference>
        </references>
      </pivotArea>
    </format>
    <format dxfId="54">
      <pivotArea dataOnly="0" labelOnly="1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2" count="3">
            <x v="2"/>
            <x v="3"/>
            <x v="4"/>
          </reference>
          <reference field="4" count="1" selected="0">
            <x v="0"/>
          </reference>
        </references>
      </pivotArea>
    </format>
    <format dxfId="53">
      <pivotArea dataOnly="0" labelOnly="1" fieldPosition="0">
        <references count="4">
          <reference field="0" count="1" selected="0">
            <x v="0"/>
          </reference>
          <reference field="1" count="1" selected="0">
            <x v="3"/>
          </reference>
          <reference field="2" count="2">
            <x v="3"/>
            <x v="4"/>
          </reference>
          <reference field="4" count="1" selected="0">
            <x v="0"/>
          </reference>
        </references>
      </pivotArea>
    </format>
    <format dxfId="52">
      <pivotArea dataOnly="0" labelOnly="1" fieldPosition="0">
        <references count="4">
          <reference field="0" count="1" selected="0">
            <x v="0"/>
          </reference>
          <reference field="1" count="1" selected="0">
            <x v="4"/>
          </reference>
          <reference field="2" count="1">
            <x v="4"/>
          </reference>
          <reference field="4" count="1" selected="0">
            <x v="0"/>
          </reference>
        </references>
      </pivotArea>
    </format>
    <format dxfId="51">
      <pivotArea dataOnly="0" labelOnly="1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2">
            <x v="1"/>
            <x v="2"/>
          </reference>
          <reference field="4" count="1" selected="0">
            <x v="0"/>
          </reference>
        </references>
      </pivotArea>
    </format>
  </format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19FF4E-6243-44BD-8C16-ABA7CAFA72BB}" name="피벗 테이블10" cacheId="1" applyNumberFormats="0" applyBorderFormats="0" applyFontFormats="0" applyPatternFormats="0" applyAlignmentFormats="0" applyWidthHeightFormats="1" dataCaption="값" updatedVersion="8" minRefreshableVersion="3" useAutoFormatting="1" rowGrandTotals="0" colGrandTotals="0" itemPrintTitles="1" createdVersion="8" indent="0" outline="1" outlineData="1" multipleFieldFilters="0" fieldListSortAscending="1">
  <location ref="A7:I2738" firstHeaderRow="1" firstDataRow="2" firstDataCol="1"/>
  <pivotFields count="11">
    <pivotField axis="axisRow" showAll="0" defaultSubtotal="0">
      <items count="5">
        <item x="4"/>
        <item x="0"/>
        <item x="1"/>
        <item x="2"/>
        <item x="3"/>
      </items>
    </pivotField>
    <pivotField axis="axisRow" showAll="0" defaultSubtotal="0">
      <items count="11">
        <item x="4"/>
        <item x="10"/>
        <item x="1"/>
        <item x="2"/>
        <item x="3"/>
        <item x="5"/>
        <item x="6"/>
        <item x="7"/>
        <item x="8"/>
        <item x="9"/>
        <item sd="0" x="0"/>
      </items>
    </pivotField>
    <pivotField axis="axisRow" showAll="0" defaultSubtotal="0">
      <items count="11">
        <item x="4"/>
        <item x="10"/>
        <item x="1"/>
        <item x="2"/>
        <item x="3"/>
        <item x="5"/>
        <item x="6"/>
        <item x="7"/>
        <item x="8"/>
        <item x="9"/>
        <item x="0"/>
      </items>
    </pivotField>
    <pivotField axis="axisCol" showAll="0" defaultSubtotal="0">
      <items count="8">
        <item x="0"/>
        <item x="5"/>
        <item x="6"/>
        <item x="4"/>
        <item x="3"/>
        <item x="2"/>
        <item x="1"/>
        <item x="7"/>
      </items>
    </pivotField>
    <pivotField axis="axisRow" showAll="0" defaultSubtotal="0">
      <items count="5">
        <item x="0"/>
        <item x="1"/>
        <item x="2"/>
        <item x="3"/>
        <item x="4"/>
      </items>
    </pivotField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dataField="1" showAll="0"/>
  </pivotFields>
  <rowFields count="4">
    <field x="4"/>
    <field x="0"/>
    <field x="1"/>
    <field x="2"/>
  </rowFields>
  <rowItems count="2730">
    <i>
      <x/>
    </i>
    <i r="1">
      <x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1">
      <x v="1"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0"/>
    </i>
    <i r="1">
      <x v="2"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1">
      <x v="3"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1">
      <x v="4"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>
      <x v="1"/>
    </i>
    <i r="1">
      <x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1">
      <x v="1"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0"/>
    </i>
    <i r="1">
      <x v="2"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1">
      <x v="3"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1">
      <x v="4"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>
      <x v="2"/>
    </i>
    <i r="1">
      <x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1">
      <x v="1"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0"/>
    </i>
    <i r="1">
      <x v="2"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1">
      <x v="3"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1">
      <x v="4"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>
      <x v="3"/>
    </i>
    <i r="1">
      <x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1">
      <x v="1"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0"/>
    </i>
    <i r="1">
      <x v="2"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1">
      <x v="3"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1">
      <x v="4"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>
      <x v="4"/>
    </i>
    <i r="1">
      <x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1">
      <x v="1"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0"/>
    </i>
    <i r="1">
      <x v="2"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1">
      <x v="3"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1">
      <x v="4"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3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5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6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7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8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$I$11" fld="10" baseField="0" baseItem="0"/>
  </dataFields>
  <formats count="47">
    <format dxfId="50">
      <pivotArea dataOnly="0" labelOnly="1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2">
            <x v="1"/>
            <x v="2"/>
          </reference>
          <reference field="4" count="1" selected="0">
            <x v="0"/>
          </reference>
        </references>
      </pivotArea>
    </format>
    <format dxfId="49">
      <pivotArea dataOnly="0" labelOnly="1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2" count="3">
            <x v="2"/>
            <x v="3"/>
            <x v="4"/>
          </reference>
          <reference field="4" count="1" selected="0">
            <x v="0"/>
          </reference>
        </references>
      </pivotArea>
    </format>
    <format dxfId="48">
      <pivotArea dataOnly="0" labelOnly="1" fieldPosition="0">
        <references count="4">
          <reference field="0" count="1" selected="0">
            <x v="0"/>
          </reference>
          <reference field="1" count="1" selected="0">
            <x v="3"/>
          </reference>
          <reference field="2" count="4">
            <x v="3"/>
            <x v="4"/>
            <x v="5"/>
            <x v="6"/>
          </reference>
          <reference field="4" count="1" selected="0">
            <x v="0"/>
          </reference>
        </references>
      </pivotArea>
    </format>
    <format dxfId="47">
      <pivotArea dataOnly="0" labelOnly="1" fieldPosition="0">
        <references count="4">
          <reference field="0" count="1" selected="0">
            <x v="0"/>
          </reference>
          <reference field="1" count="1" selected="0">
            <x v="4"/>
          </reference>
          <reference field="2" count="5">
            <x v="4"/>
            <x v="5"/>
            <x v="6"/>
            <x v="7"/>
            <x v="8"/>
          </reference>
          <reference field="4" count="1" selected="0">
            <x v="0"/>
          </reference>
        </references>
      </pivotArea>
    </format>
    <format dxfId="46">
      <pivotArea dataOnly="0" labelOnly="1" fieldPosition="0">
        <references count="4">
          <reference field="0" count="1" selected="0">
            <x v="0"/>
          </reference>
          <reference field="1" count="1" selected="0">
            <x v="5"/>
          </reference>
          <reference field="2" count="5">
            <x v="5"/>
            <x v="6"/>
            <x v="7"/>
            <x v="8"/>
            <x v="9"/>
          </reference>
          <reference field="4" count="1" selected="0">
            <x v="0"/>
          </reference>
        </references>
      </pivotArea>
    </format>
    <format dxfId="45">
      <pivotArea dataOnly="0" labelOnly="1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4">
            <x v="6"/>
            <x v="7"/>
            <x v="8"/>
            <x v="9"/>
          </reference>
          <reference field="4" count="1" selected="0">
            <x v="0"/>
          </reference>
        </references>
      </pivotArea>
    </format>
    <format dxfId="44">
      <pivotArea dataOnly="0" labelOnly="1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2" count="3">
            <x v="7"/>
            <x v="8"/>
            <x v="9"/>
          </reference>
          <reference field="4" count="1" selected="0">
            <x v="0"/>
          </reference>
        </references>
      </pivotArea>
    </format>
    <format dxfId="43">
      <pivotArea dataOnly="0" labelOnly="1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1">
            <x v="0"/>
          </reference>
          <reference field="4" count="1" selected="0">
            <x v="0"/>
          </reference>
        </references>
      </pivotArea>
    </format>
    <format dxfId="42">
      <pivotArea dataOnly="0" labelOnly="1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3">
            <x v="0"/>
            <x v="1"/>
            <x v="2"/>
          </reference>
          <reference field="4" count="1" selected="0">
            <x v="0"/>
          </reference>
        </references>
      </pivotArea>
    </format>
    <format dxfId="41">
      <pivotArea dataOnly="0" labelOnly="1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2">
            <x v="1"/>
            <x v="2"/>
          </reference>
          <reference field="4" count="1" selected="0">
            <x v="0"/>
          </reference>
        </references>
      </pivotArea>
    </format>
    <format dxfId="40">
      <pivotArea dataOnly="0" labelOnly="1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2" count="1">
            <x v="0"/>
          </reference>
          <reference field="4" count="1" selected="0">
            <x v="0"/>
          </reference>
        </references>
      </pivotArea>
    </format>
    <format dxfId="39">
      <pivotArea dataOnly="0" labelOnly="1" fieldPosition="0">
        <references count="4">
          <reference field="0" count="1" selected="0">
            <x v="1"/>
          </reference>
          <reference field="1" count="1" selected="0">
            <x v="4"/>
          </reference>
          <reference field="2" count="1">
            <x v="0"/>
          </reference>
          <reference field="4" count="1" selected="0">
            <x v="0"/>
          </reference>
        </references>
      </pivotArea>
    </format>
    <format dxfId="38">
      <pivotArea dataOnly="0" labelOnly="1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2" count="1">
            <x v="0"/>
          </reference>
          <reference field="4" count="1" selected="0">
            <x v="0"/>
          </reference>
        </references>
      </pivotArea>
    </format>
    <format dxfId="37">
      <pivotArea dataOnly="0" labelOnly="1" fieldPosition="0">
        <references count="4">
          <reference field="0" count="1" selected="0">
            <x v="2"/>
          </reference>
          <reference field="1" count="1" selected="0">
            <x v="3"/>
          </reference>
          <reference field="2" count="1">
            <x v="0"/>
          </reference>
          <reference field="4" count="1" selected="0">
            <x v="0"/>
          </reference>
        </references>
      </pivotArea>
    </format>
    <format dxfId="36">
      <pivotArea dataOnly="0" labelOnly="1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1">
            <x v="0"/>
          </reference>
          <reference field="4" count="1" selected="0">
            <x v="0"/>
          </reference>
        </references>
      </pivotArea>
    </format>
    <format dxfId="35">
      <pivotArea dataOnly="0" labelOnly="1" fieldPosition="0">
        <references count="3">
          <reference field="0" count="1" selected="0">
            <x v="2"/>
          </reference>
          <reference field="1" count="1">
            <x v="3"/>
          </reference>
          <reference field="4" count="1" selected="0">
            <x v="0"/>
          </reference>
        </references>
      </pivotArea>
    </format>
    <format dxfId="34">
      <pivotArea dataOnly="0" labelOnly="1" fieldPosition="0">
        <references count="3">
          <reference field="0" count="1" selected="0">
            <x v="2"/>
          </reference>
          <reference field="1" count="1">
            <x v="4"/>
          </reference>
          <reference field="4" count="1" selected="0">
            <x v="0"/>
          </reference>
        </references>
      </pivotArea>
    </format>
    <format dxfId="33">
      <pivotArea dataOnly="0" labelOnly="1" fieldPosition="0">
        <references count="3">
          <reference field="0" count="1" selected="0">
            <x v="2"/>
          </reference>
          <reference field="1" count="1">
            <x v="2"/>
          </reference>
          <reference field="4" count="1" selected="0">
            <x v="0"/>
          </reference>
        </references>
      </pivotArea>
    </format>
    <format dxfId="32">
      <pivotArea dataOnly="0" labelOnly="1" fieldPosition="0">
        <references count="3">
          <reference field="0" count="1" selected="0">
            <x v="2"/>
          </reference>
          <reference field="1" count="1">
            <x v="5"/>
          </reference>
          <reference field="4" count="1" selected="0">
            <x v="0"/>
          </reference>
        </references>
      </pivotArea>
    </format>
    <format dxfId="31">
      <pivotArea dataOnly="0" labelOnly="1" fieldPosition="0">
        <references count="4">
          <reference field="0" count="1" selected="0">
            <x v="2"/>
          </reference>
          <reference field="1" count="1" selected="0">
            <x v="5"/>
          </reference>
          <reference field="2" count="1">
            <x v="0"/>
          </reference>
          <reference field="4" count="1" selected="0">
            <x v="0"/>
          </reference>
        </references>
      </pivotArea>
    </format>
    <format dxfId="30">
      <pivotArea dataOnly="0" labelOnly="1" fieldPosition="0">
        <references count="3">
          <reference field="0" count="1" selected="0">
            <x v="2"/>
          </reference>
          <reference field="1" count="1">
            <x v="6"/>
          </reference>
          <reference field="4" count="1" selected="0">
            <x v="0"/>
          </reference>
        </references>
      </pivotArea>
    </format>
    <format dxfId="29">
      <pivotArea dataOnly="0" labelOnly="1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>
            <x v="0"/>
          </reference>
          <reference field="4" count="1" selected="0">
            <x v="0"/>
          </reference>
        </references>
      </pivotArea>
    </format>
    <format dxfId="28">
      <pivotArea dataOnly="0" labelOnly="1" fieldPosition="0">
        <references count="3">
          <reference field="0" count="1" selected="0">
            <x v="2"/>
          </reference>
          <reference field="1" count="1">
            <x v="7"/>
          </reference>
          <reference field="4" count="1" selected="0">
            <x v="0"/>
          </reference>
        </references>
      </pivotArea>
    </format>
    <format dxfId="27">
      <pivotArea dataOnly="0" labelOnly="1" fieldPosition="0">
        <references count="4">
          <reference field="0" count="1" selected="0">
            <x v="2"/>
          </reference>
          <reference field="1" count="1" selected="0">
            <x v="7"/>
          </reference>
          <reference field="2" count="1">
            <x v="0"/>
          </reference>
          <reference field="4" count="1" selected="0">
            <x v="0"/>
          </reference>
        </references>
      </pivotArea>
    </format>
    <format dxfId="26">
      <pivotArea dataOnly="0" labelOnly="1" fieldPosition="0">
        <references count="3">
          <reference field="0" count="1" selected="0">
            <x v="2"/>
          </reference>
          <reference field="1" count="1">
            <x v="8"/>
          </reference>
          <reference field="4" count="1" selected="0">
            <x v="0"/>
          </reference>
        </references>
      </pivotArea>
    </format>
    <format dxfId="25">
      <pivotArea dataOnly="0" labelOnly="1" fieldPosition="0">
        <references count="4">
          <reference field="0" count="1" selected="0">
            <x v="2"/>
          </reference>
          <reference field="1" count="1" selected="0">
            <x v="8"/>
          </reference>
          <reference field="2" count="1">
            <x v="0"/>
          </reference>
          <reference field="4" count="1" selected="0">
            <x v="0"/>
          </reference>
        </references>
      </pivotArea>
    </format>
    <format dxfId="24">
      <pivotArea dataOnly="0" labelOnly="1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2" count="1">
            <x v="0"/>
          </reference>
          <reference field="4" count="1" selected="0">
            <x v="1"/>
          </reference>
        </references>
      </pivotArea>
    </format>
    <format dxfId="23">
      <pivotArea dataOnly="0" labelOnly="1" fieldPosition="0">
        <references count="3">
          <reference field="0" count="1" selected="0">
            <x v="2"/>
          </reference>
          <reference field="1" count="1">
            <x v="2"/>
          </reference>
          <reference field="4" count="1" selected="0">
            <x v="1"/>
          </reference>
        </references>
      </pivotArea>
    </format>
    <format dxfId="22">
      <pivotArea dataOnly="0" labelOnly="1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2" count="1">
            <x v="0"/>
          </reference>
          <reference field="4" count="1" selected="0">
            <x v="1"/>
          </reference>
        </references>
      </pivotArea>
    </format>
    <format dxfId="21">
      <pivotArea dataOnly="0" labelOnly="1" fieldPosition="0">
        <references count="3">
          <reference field="0" count="1" selected="0">
            <x v="2"/>
          </reference>
          <reference field="1" count="1">
            <x v="3"/>
          </reference>
          <reference field="4" count="1" selected="0">
            <x v="1"/>
          </reference>
        </references>
      </pivotArea>
    </format>
    <format dxfId="20">
      <pivotArea dataOnly="0" labelOnly="1" fieldPosition="0">
        <references count="4">
          <reference field="0" count="1" selected="0">
            <x v="2"/>
          </reference>
          <reference field="1" count="1" selected="0">
            <x v="3"/>
          </reference>
          <reference field="2" count="1">
            <x v="0"/>
          </reference>
          <reference field="4" count="1" selected="0">
            <x v="1"/>
          </reference>
        </references>
      </pivotArea>
    </format>
    <format dxfId="19">
      <pivotArea dataOnly="0" labelOnly="1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5">
            <x v="0"/>
            <x v="1"/>
            <x v="2"/>
            <x v="3"/>
            <x v="4"/>
          </reference>
          <reference field="4" count="1" selected="0">
            <x v="1"/>
          </reference>
        </references>
      </pivotArea>
    </format>
    <format dxfId="18">
      <pivotArea dataOnly="0" labelOnly="1" fieldPosition="0">
        <references count="4">
          <reference field="0" count="1" selected="0">
            <x v="2"/>
          </reference>
          <reference field="1" count="1" selected="0">
            <x v="3"/>
          </reference>
          <reference field="2" count="3">
            <x v="1"/>
            <x v="2"/>
            <x v="3"/>
          </reference>
          <reference field="4" count="1" selected="0">
            <x v="1"/>
          </reference>
        </references>
      </pivotArea>
    </format>
    <format dxfId="17">
      <pivotArea dataOnly="0" labelOnly="1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2" count="2">
            <x v="1"/>
            <x v="2"/>
          </reference>
          <reference field="4" count="1" selected="0">
            <x v="1"/>
          </reference>
        </references>
      </pivotArea>
    </format>
    <format dxfId="16">
      <pivotArea dataOnly="0" labelOnly="1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1">
            <x v="4"/>
          </reference>
          <reference field="4" count="1" selected="0">
            <x v="1"/>
          </reference>
        </references>
      </pivotArea>
    </format>
    <format dxfId="15">
      <pivotArea dataOnly="0" labelOnly="1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2" count="1">
            <x v="3"/>
          </reference>
          <reference field="4" count="1" selected="0">
            <x v="1"/>
          </reference>
        </references>
      </pivotArea>
    </format>
    <format dxfId="14">
      <pivotArea dataOnly="0" labelOnly="1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4">
            <x v="0"/>
            <x v="1"/>
            <x v="2"/>
            <x v="3"/>
          </reference>
          <reference field="4" count="1" selected="0">
            <x v="1"/>
          </reference>
        </references>
      </pivotArea>
    </format>
    <format dxfId="13">
      <pivotArea dataOnly="0" labelOnly="1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4">
            <x v="0"/>
            <x v="1"/>
            <x v="2"/>
            <x v="3"/>
          </reference>
          <reference field="4" count="1" selected="0">
            <x v="1"/>
          </reference>
        </references>
      </pivotArea>
    </format>
    <format dxfId="12">
      <pivotArea dataOnly="0" labelOnly="1" fieldPosition="0">
        <references count="4">
          <reference field="0" count="1" selected="0">
            <x v="1"/>
          </reference>
          <reference field="1" count="1" selected="0">
            <x v="0"/>
          </reference>
          <reference field="2" count="5">
            <x v="0"/>
            <x v="1"/>
            <x v="2"/>
            <x v="3"/>
            <x v="4"/>
          </reference>
          <reference field="4" count="1" selected="0">
            <x v="1"/>
          </reference>
        </references>
      </pivotArea>
    </format>
    <format dxfId="11">
      <pivotArea dataOnly="0" labelOnly="1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4">
            <x v="0"/>
            <x v="1"/>
            <x v="2"/>
            <x v="3"/>
          </reference>
          <reference field="4" count="1" selected="0">
            <x v="1"/>
          </reference>
        </references>
      </pivotArea>
    </format>
    <format dxfId="10">
      <pivotArea dataOnly="0" labelOnly="1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2" count="4">
            <x v="0"/>
            <x v="1"/>
            <x v="2"/>
            <x v="3"/>
          </reference>
          <reference field="4" count="1" selected="0">
            <x v="1"/>
          </reference>
        </references>
      </pivotArea>
    </format>
    <format dxfId="9">
      <pivotArea dataOnly="0" labelOnly="1" fieldPosition="0">
        <references count="4">
          <reference field="0" count="1" selected="0">
            <x v="1"/>
          </reference>
          <reference field="1" count="1" selected="0">
            <x v="4"/>
          </reference>
          <reference field="2" count="3">
            <x v="0"/>
            <x v="1"/>
            <x v="2"/>
          </reference>
          <reference field="4" count="1" selected="0">
            <x v="1"/>
          </reference>
        </references>
      </pivotArea>
    </format>
    <format dxfId="8">
      <pivotArea dataOnly="0" labelOnly="1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2" count="3">
            <x v="0"/>
            <x v="1"/>
            <x v="2"/>
          </reference>
          <reference field="4" count="1" selected="0">
            <x v="1"/>
          </reference>
        </references>
      </pivotArea>
    </format>
    <format dxfId="7">
      <pivotArea dataOnly="0" labelOnly="1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2">
            <x v="0"/>
            <x v="1"/>
          </reference>
          <reference field="4" count="1" selected="0">
            <x v="1"/>
          </reference>
        </references>
      </pivotArea>
    </format>
    <format dxfId="6">
      <pivotArea dataOnly="0" labelOnly="1" fieldPosition="0">
        <references count="4">
          <reference field="0" count="1" selected="0">
            <x v="1"/>
          </reference>
          <reference field="1" count="1" selected="0">
            <x v="7"/>
          </reference>
          <reference field="2" count="2">
            <x v="0"/>
            <x v="1"/>
          </reference>
          <reference field="4" count="1" selected="0">
            <x v="1"/>
          </reference>
        </references>
      </pivotArea>
    </format>
    <format dxfId="5">
      <pivotArea dataOnly="0" labelOnly="1" fieldPosition="0">
        <references count="4">
          <reference field="0" count="1" selected="0">
            <x v="3"/>
          </reference>
          <reference field="1" count="1" selected="0">
            <x v="8"/>
          </reference>
          <reference field="2" count="8">
            <x v="0"/>
            <x v="1"/>
            <x v="2"/>
            <x v="3"/>
            <x v="4"/>
            <x v="5"/>
            <x v="6"/>
            <x v="7"/>
          </reference>
          <reference field="4" count="1" selected="0">
            <x v="0"/>
          </reference>
        </references>
      </pivotArea>
    </format>
    <format dxfId="4">
      <pivotArea dataOnly="0" labelOnly="1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7">
            <x v="0"/>
            <x v="1"/>
            <x v="2"/>
            <x v="3"/>
            <x v="4"/>
            <x v="5"/>
            <x v="6"/>
          </reference>
          <reference field="4" count="1" selected="0">
            <x v="0"/>
          </reference>
        </references>
      </pivotArea>
    </format>
  </formats>
  <conditionalFormats count="1">
    <conditionalFormat priority="1">
      <pivotAreas count="527"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1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1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10"/>
            </reference>
            <reference field="2" count="10">
              <x v="0"/>
              <x v="2"/>
              <x v="3"/>
              <x v="4"/>
              <x v="5"/>
              <x v="6"/>
              <x v="7"/>
              <x v="8"/>
              <x v="9"/>
              <x v="1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1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1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1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0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1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1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10"/>
            </reference>
            <reference field="2" count="10">
              <x v="0"/>
              <x v="2"/>
              <x v="3"/>
              <x v="4"/>
              <x v="5"/>
              <x v="6"/>
              <x v="7"/>
              <x v="8"/>
              <x v="9"/>
              <x v="1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1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1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1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>
              <x v="2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1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1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10"/>
            </reference>
            <reference field="2" count="10">
              <x v="0"/>
              <x v="2"/>
              <x v="3"/>
              <x v="4"/>
              <x v="5"/>
              <x v="6"/>
              <x v="7"/>
              <x v="8"/>
              <x v="9"/>
              <x v="1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1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1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1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1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1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10"/>
            </reference>
            <reference field="2" count="10">
              <x v="0"/>
              <x v="2"/>
              <x v="3"/>
              <x v="4"/>
              <x v="5"/>
              <x v="6"/>
              <x v="7"/>
              <x v="8"/>
              <x v="9"/>
              <x v="1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1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1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1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1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0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1"/>
            </reference>
            <reference field="1" count="1">
              <x v="1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1"/>
            </reference>
            <reference field="1" count="1" selected="0">
              <x v="10"/>
            </reference>
            <reference field="2" count="10">
              <x v="0"/>
              <x v="2"/>
              <x v="3"/>
              <x v="4"/>
              <x v="5"/>
              <x v="6"/>
              <x v="7"/>
              <x v="8"/>
              <x v="9"/>
              <x v="1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1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2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2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1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3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3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0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1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1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2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2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3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3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4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4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5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5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6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6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7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7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8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8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5">
            <reference field="4294967294" count="1" selected="0">
              <x v="0"/>
            </reference>
            <reference field="0" count="1" selected="0">
              <x v="4"/>
            </reference>
            <reference field="1" count="1"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6">
            <reference field="4294967294" count="1" selected="0">
              <x v="0"/>
            </reference>
            <reference field="0" count="1" selected="0">
              <x v="4"/>
            </reference>
            <reference field="1" count="1" selected="0">
              <x v="9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3" count="7" selected="0">
              <x v="1"/>
              <x v="2"/>
              <x v="3"/>
              <x v="4"/>
              <x v="5"/>
              <x v="6"/>
              <x v="7"/>
            </reference>
            <reference field="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77413-1B0E-44B7-91C6-4759F3835214}">
  <sheetPr codeName="Sheet1"/>
  <dimension ref="A1:X67"/>
  <sheetViews>
    <sheetView zoomScaleNormal="100" workbookViewId="0">
      <selection activeCell="S30" sqref="S30"/>
    </sheetView>
  </sheetViews>
  <sheetFormatPr defaultRowHeight="16.5" x14ac:dyDescent="0.3"/>
  <cols>
    <col min="1" max="1" width="23" bestFit="1" customWidth="1"/>
    <col min="2" max="2" width="11.875" bestFit="1" customWidth="1"/>
    <col min="3" max="6" width="10.375" bestFit="1" customWidth="1"/>
    <col min="7" max="7" width="11.25" bestFit="1" customWidth="1"/>
    <col min="8" max="8" width="12.375" bestFit="1" customWidth="1"/>
    <col min="9" max="9" width="11.25" bestFit="1" customWidth="1"/>
    <col min="10" max="10" width="4.375" bestFit="1" customWidth="1"/>
    <col min="11" max="24" width="5.5" bestFit="1" customWidth="1"/>
    <col min="25" max="25" width="14.5" bestFit="1" customWidth="1"/>
    <col min="26" max="37" width="11.25" bestFit="1" customWidth="1"/>
  </cols>
  <sheetData>
    <row r="1" spans="1:24" x14ac:dyDescent="0.3">
      <c r="A1" s="12" t="s">
        <v>13</v>
      </c>
      <c r="B1" t="s">
        <v>12</v>
      </c>
    </row>
    <row r="2" spans="1:24" x14ac:dyDescent="0.3">
      <c r="A2" s="12" t="s">
        <v>14</v>
      </c>
      <c r="B2" t="s">
        <v>12</v>
      </c>
    </row>
    <row r="3" spans="1:24" x14ac:dyDescent="0.3">
      <c r="A3" s="12" t="s">
        <v>15</v>
      </c>
      <c r="B3" t="s">
        <v>12</v>
      </c>
    </row>
    <row r="4" spans="1:24" x14ac:dyDescent="0.3">
      <c r="A4" s="12" t="s">
        <v>27</v>
      </c>
      <c r="B4" t="s">
        <v>12</v>
      </c>
    </row>
    <row r="5" spans="1:24" x14ac:dyDescent="0.3">
      <c r="A5" s="12" t="s">
        <v>53</v>
      </c>
      <c r="B5" t="s">
        <v>12</v>
      </c>
    </row>
    <row r="7" spans="1:24" x14ac:dyDescent="0.3">
      <c r="A7" s="12" t="s">
        <v>11</v>
      </c>
      <c r="B7" s="12" t="s">
        <v>16</v>
      </c>
    </row>
    <row r="8" spans="1:24" x14ac:dyDescent="0.3">
      <c r="A8" s="12" t="s">
        <v>10</v>
      </c>
      <c r="B8" t="s">
        <v>28</v>
      </c>
      <c r="C8" t="s">
        <v>29</v>
      </c>
      <c r="D8" t="s">
        <v>30</v>
      </c>
      <c r="E8" t="s">
        <v>25</v>
      </c>
      <c r="F8" t="s">
        <v>26</v>
      </c>
      <c r="G8" t="s">
        <v>31</v>
      </c>
      <c r="H8" t="s">
        <v>32</v>
      </c>
    </row>
    <row r="9" spans="1:24" x14ac:dyDescent="0.3">
      <c r="A9" s="13" t="s">
        <v>36</v>
      </c>
    </row>
    <row r="10" spans="1:24" x14ac:dyDescent="0.3">
      <c r="A10" s="14" t="s">
        <v>33</v>
      </c>
    </row>
    <row r="11" spans="1:24" x14ac:dyDescent="0.3">
      <c r="A11" s="15" t="s">
        <v>34</v>
      </c>
      <c r="B11">
        <v>10000</v>
      </c>
      <c r="C11">
        <v>-10000</v>
      </c>
      <c r="D11">
        <v>-10000</v>
      </c>
      <c r="E11">
        <v>-10000</v>
      </c>
      <c r="F11">
        <v>-10000</v>
      </c>
      <c r="G11">
        <v>-10000</v>
      </c>
      <c r="H11">
        <v>-10000</v>
      </c>
    </row>
    <row r="12" spans="1:24" x14ac:dyDescent="0.3">
      <c r="A12" s="15" t="s">
        <v>45</v>
      </c>
    </row>
    <row r="13" spans="1:24" x14ac:dyDescent="0.3">
      <c r="A13" s="48" t="s">
        <v>35</v>
      </c>
      <c r="B13">
        <v>-1000</v>
      </c>
      <c r="C13">
        <v>2000</v>
      </c>
      <c r="D13">
        <v>-1000</v>
      </c>
      <c r="E13">
        <v>-1000</v>
      </c>
      <c r="F13">
        <v>-1000</v>
      </c>
      <c r="G13">
        <v>-1000</v>
      </c>
      <c r="H13">
        <v>-1000</v>
      </c>
    </row>
    <row r="14" spans="1:24" x14ac:dyDescent="0.3">
      <c r="A14" s="49" t="s">
        <v>41</v>
      </c>
      <c r="B14">
        <v>0</v>
      </c>
      <c r="C14">
        <v>1000</v>
      </c>
      <c r="D14">
        <v>-2000</v>
      </c>
      <c r="E14">
        <v>-2000</v>
      </c>
      <c r="F14">
        <v>-2000</v>
      </c>
      <c r="G14">
        <v>-2000</v>
      </c>
      <c r="H14">
        <v>-2000</v>
      </c>
    </row>
    <row r="15" spans="1:24" ht="17.25" thickBot="1" x14ac:dyDescent="0.35">
      <c r="A15" s="49" t="s">
        <v>42</v>
      </c>
      <c r="B15">
        <v>1000</v>
      </c>
      <c r="C15">
        <v>0</v>
      </c>
      <c r="D15">
        <v>-3000</v>
      </c>
      <c r="E15">
        <v>-3000</v>
      </c>
      <c r="F15">
        <v>-3000</v>
      </c>
      <c r="G15">
        <v>-3000</v>
      </c>
      <c r="H15">
        <v>-3000</v>
      </c>
      <c r="J15" t="s">
        <v>20</v>
      </c>
    </row>
    <row r="16" spans="1:24" ht="17.25" thickTop="1" x14ac:dyDescent="0.3">
      <c r="A16" s="48" t="s">
        <v>43</v>
      </c>
      <c r="B16">
        <v>2000</v>
      </c>
      <c r="C16">
        <v>-1000</v>
      </c>
      <c r="D16">
        <v>-4000</v>
      </c>
      <c r="E16">
        <v>-4000</v>
      </c>
      <c r="F16">
        <v>-4000</v>
      </c>
      <c r="G16">
        <v>-4000</v>
      </c>
      <c r="H16">
        <v>-4000</v>
      </c>
      <c r="J16" t="s">
        <v>21</v>
      </c>
      <c r="K16" s="50">
        <v>1000</v>
      </c>
      <c r="L16" s="51">
        <v>1000</v>
      </c>
      <c r="M16">
        <v>1000</v>
      </c>
      <c r="N16" s="4">
        <v>1000</v>
      </c>
      <c r="O16" s="50">
        <v>2000</v>
      </c>
      <c r="P16" s="51">
        <v>2000</v>
      </c>
      <c r="Q16">
        <v>2000</v>
      </c>
      <c r="R16" s="4">
        <v>2000</v>
      </c>
      <c r="S16">
        <v>2000</v>
      </c>
      <c r="T16" s="4">
        <v>2000</v>
      </c>
      <c r="U16" s="50">
        <v>3000</v>
      </c>
      <c r="V16" s="51">
        <v>3000</v>
      </c>
      <c r="W16">
        <v>3000</v>
      </c>
      <c r="X16" s="4">
        <v>3000</v>
      </c>
    </row>
    <row r="17" spans="1:24" x14ac:dyDescent="0.3">
      <c r="A17" s="48" t="s">
        <v>44</v>
      </c>
      <c r="B17">
        <v>3000</v>
      </c>
      <c r="C17">
        <v>-2000</v>
      </c>
      <c r="D17">
        <v>-5000</v>
      </c>
      <c r="E17">
        <v>-5000</v>
      </c>
      <c r="F17">
        <v>-5000</v>
      </c>
      <c r="G17">
        <v>-5000</v>
      </c>
      <c r="H17">
        <v>-5000</v>
      </c>
      <c r="J17" t="s">
        <v>22</v>
      </c>
      <c r="K17" s="52">
        <v>1000</v>
      </c>
      <c r="L17" s="53">
        <v>1000</v>
      </c>
      <c r="M17" s="4">
        <v>2000</v>
      </c>
      <c r="N17">
        <v>2000</v>
      </c>
      <c r="O17" s="52">
        <v>2000</v>
      </c>
      <c r="P17" s="53">
        <v>2000</v>
      </c>
      <c r="Q17" s="4">
        <v>3000</v>
      </c>
      <c r="R17">
        <v>3000</v>
      </c>
      <c r="S17" s="4">
        <v>4000</v>
      </c>
      <c r="T17">
        <v>4000</v>
      </c>
      <c r="U17" s="52">
        <v>3000</v>
      </c>
      <c r="V17" s="53">
        <v>3000</v>
      </c>
      <c r="W17" s="4">
        <v>4000</v>
      </c>
      <c r="X17">
        <v>4000</v>
      </c>
    </row>
    <row r="18" spans="1:24" ht="17.25" thickBot="1" x14ac:dyDescent="0.35">
      <c r="A18" s="15" t="s">
        <v>46</v>
      </c>
      <c r="K18" s="54">
        <v>0</v>
      </c>
      <c r="L18" s="55">
        <v>1000</v>
      </c>
      <c r="M18">
        <v>1000</v>
      </c>
      <c r="N18">
        <v>0</v>
      </c>
      <c r="O18" s="54">
        <v>0</v>
      </c>
      <c r="P18" s="55">
        <v>2000</v>
      </c>
      <c r="Q18">
        <v>1000</v>
      </c>
      <c r="R18">
        <v>1000</v>
      </c>
      <c r="S18">
        <v>2000</v>
      </c>
      <c r="T18">
        <v>0</v>
      </c>
      <c r="U18" s="54">
        <v>0</v>
      </c>
      <c r="V18" s="55">
        <v>3000</v>
      </c>
      <c r="W18">
        <v>1000</v>
      </c>
      <c r="X18">
        <v>2000</v>
      </c>
    </row>
    <row r="19" spans="1:24" ht="17.25" thickTop="1" x14ac:dyDescent="0.3">
      <c r="A19" s="48" t="s">
        <v>35</v>
      </c>
      <c r="B19">
        <v>-2000</v>
      </c>
      <c r="C19">
        <v>4000</v>
      </c>
      <c r="D19">
        <v>-2000</v>
      </c>
      <c r="E19">
        <v>-2000</v>
      </c>
      <c r="F19">
        <v>-2000</v>
      </c>
      <c r="G19">
        <v>-2000</v>
      </c>
      <c r="H19">
        <v>-2000</v>
      </c>
    </row>
    <row r="20" spans="1:24" x14ac:dyDescent="0.3">
      <c r="A20" s="48" t="s">
        <v>41</v>
      </c>
      <c r="B20">
        <v>-1000</v>
      </c>
      <c r="C20">
        <v>3000</v>
      </c>
      <c r="D20">
        <v>-3000</v>
      </c>
      <c r="E20">
        <v>-3000</v>
      </c>
      <c r="F20">
        <v>-3000</v>
      </c>
      <c r="G20">
        <v>-3000</v>
      </c>
      <c r="H20">
        <v>-3000</v>
      </c>
    </row>
    <row r="21" spans="1:24" x14ac:dyDescent="0.3">
      <c r="A21" s="49" t="s">
        <v>42</v>
      </c>
      <c r="B21">
        <v>0</v>
      </c>
      <c r="C21">
        <v>2000</v>
      </c>
      <c r="D21">
        <v>-4000</v>
      </c>
      <c r="E21">
        <v>-4000</v>
      </c>
      <c r="F21">
        <v>-4000</v>
      </c>
      <c r="G21">
        <v>-4000</v>
      </c>
      <c r="H21">
        <v>-4000</v>
      </c>
    </row>
    <row r="22" spans="1:24" x14ac:dyDescent="0.3">
      <c r="A22" s="49" t="s">
        <v>43</v>
      </c>
      <c r="B22">
        <v>1000</v>
      </c>
      <c r="C22">
        <v>1000</v>
      </c>
      <c r="D22">
        <v>-5000</v>
      </c>
      <c r="E22">
        <v>-5000</v>
      </c>
      <c r="F22">
        <v>-5000</v>
      </c>
      <c r="G22">
        <v>-5000</v>
      </c>
      <c r="H22">
        <v>-5000</v>
      </c>
    </row>
    <row r="23" spans="1:24" x14ac:dyDescent="0.3">
      <c r="A23" s="49" t="s">
        <v>44</v>
      </c>
      <c r="B23">
        <v>2000</v>
      </c>
      <c r="C23">
        <v>0</v>
      </c>
      <c r="D23">
        <v>-6000</v>
      </c>
      <c r="E23">
        <v>-6000</v>
      </c>
      <c r="F23">
        <v>-6000</v>
      </c>
      <c r="G23">
        <v>-6000</v>
      </c>
      <c r="H23">
        <v>-6000</v>
      </c>
    </row>
    <row r="24" spans="1:24" x14ac:dyDescent="0.3">
      <c r="A24" s="15" t="s">
        <v>47</v>
      </c>
    </row>
    <row r="25" spans="1:24" x14ac:dyDescent="0.3">
      <c r="A25" s="48" t="s">
        <v>35</v>
      </c>
      <c r="B25">
        <v>-3000</v>
      </c>
      <c r="C25">
        <v>6000</v>
      </c>
      <c r="D25">
        <v>-3000</v>
      </c>
      <c r="E25">
        <v>-3000</v>
      </c>
      <c r="F25">
        <v>-3000</v>
      </c>
      <c r="G25">
        <v>-3000</v>
      </c>
      <c r="H25">
        <v>-3000</v>
      </c>
    </row>
    <row r="26" spans="1:24" x14ac:dyDescent="0.3">
      <c r="A26" s="48" t="s">
        <v>41</v>
      </c>
      <c r="B26">
        <v>-2000</v>
      </c>
      <c r="C26">
        <v>5000</v>
      </c>
      <c r="D26">
        <v>-4000</v>
      </c>
      <c r="E26">
        <v>-4000</v>
      </c>
      <c r="F26">
        <v>-4000</v>
      </c>
      <c r="G26">
        <v>-4000</v>
      </c>
      <c r="H26">
        <v>-4000</v>
      </c>
    </row>
    <row r="27" spans="1:24" x14ac:dyDescent="0.3">
      <c r="A27" s="48" t="s">
        <v>42</v>
      </c>
      <c r="B27">
        <v>-1000</v>
      </c>
      <c r="C27">
        <v>4000</v>
      </c>
      <c r="D27">
        <v>-5000</v>
      </c>
      <c r="E27">
        <v>-5000</v>
      </c>
      <c r="F27">
        <v>-5000</v>
      </c>
      <c r="G27">
        <v>-5000</v>
      </c>
      <c r="H27">
        <v>-5000</v>
      </c>
    </row>
    <row r="28" spans="1:24" x14ac:dyDescent="0.3">
      <c r="A28" s="49" t="s">
        <v>43</v>
      </c>
      <c r="B28">
        <v>0</v>
      </c>
      <c r="C28">
        <v>3000</v>
      </c>
      <c r="D28">
        <v>-6000</v>
      </c>
      <c r="E28">
        <v>-6000</v>
      </c>
      <c r="F28">
        <v>-6000</v>
      </c>
      <c r="G28">
        <v>-6000</v>
      </c>
      <c r="H28">
        <v>-6000</v>
      </c>
    </row>
    <row r="29" spans="1:24" x14ac:dyDescent="0.3">
      <c r="A29" s="49" t="s">
        <v>44</v>
      </c>
      <c r="B29">
        <v>1000</v>
      </c>
      <c r="C29">
        <v>2000</v>
      </c>
      <c r="D29">
        <v>-7000</v>
      </c>
      <c r="E29">
        <v>-7000</v>
      </c>
      <c r="F29">
        <v>-7000</v>
      </c>
      <c r="G29">
        <v>-7000</v>
      </c>
      <c r="H29">
        <v>-7000</v>
      </c>
    </row>
    <row r="30" spans="1:24" x14ac:dyDescent="0.3">
      <c r="A30" s="15" t="s">
        <v>48</v>
      </c>
    </row>
    <row r="31" spans="1:24" x14ac:dyDescent="0.3">
      <c r="A31" s="48" t="s">
        <v>35</v>
      </c>
      <c r="B31">
        <v>-4000</v>
      </c>
      <c r="C31">
        <v>8000</v>
      </c>
      <c r="D31">
        <v>-4000</v>
      </c>
      <c r="E31">
        <v>-4000</v>
      </c>
      <c r="F31">
        <v>-4000</v>
      </c>
      <c r="G31">
        <v>-4000</v>
      </c>
      <c r="H31">
        <v>-4000</v>
      </c>
    </row>
    <row r="32" spans="1:24" x14ac:dyDescent="0.3">
      <c r="A32" s="48" t="s">
        <v>41</v>
      </c>
      <c r="B32">
        <v>-3000</v>
      </c>
      <c r="C32">
        <v>7000</v>
      </c>
      <c r="D32">
        <v>-5000</v>
      </c>
      <c r="E32">
        <v>-5000</v>
      </c>
      <c r="F32">
        <v>-5000</v>
      </c>
      <c r="G32">
        <v>-5000</v>
      </c>
      <c r="H32">
        <v>-5000</v>
      </c>
    </row>
    <row r="33" spans="1:8" x14ac:dyDescent="0.3">
      <c r="A33" s="48" t="s">
        <v>42</v>
      </c>
      <c r="B33">
        <v>-2000</v>
      </c>
      <c r="C33">
        <v>6000</v>
      </c>
      <c r="D33">
        <v>-6000</v>
      </c>
      <c r="E33">
        <v>-6000</v>
      </c>
      <c r="F33">
        <v>-6000</v>
      </c>
      <c r="G33">
        <v>-6000</v>
      </c>
      <c r="H33">
        <v>-6000</v>
      </c>
    </row>
    <row r="34" spans="1:8" x14ac:dyDescent="0.3">
      <c r="A34" s="48" t="s">
        <v>43</v>
      </c>
      <c r="B34">
        <v>-1000</v>
      </c>
      <c r="C34">
        <v>5000</v>
      </c>
      <c r="D34">
        <v>-7000</v>
      </c>
      <c r="E34">
        <v>-7000</v>
      </c>
      <c r="F34">
        <v>-7000</v>
      </c>
      <c r="G34">
        <v>-7000</v>
      </c>
      <c r="H34">
        <v>-7000</v>
      </c>
    </row>
    <row r="35" spans="1:8" x14ac:dyDescent="0.3">
      <c r="A35" s="49" t="s">
        <v>44</v>
      </c>
      <c r="B35">
        <v>0</v>
      </c>
      <c r="C35">
        <v>4000</v>
      </c>
      <c r="D35">
        <v>-8000</v>
      </c>
      <c r="E35">
        <v>-8000</v>
      </c>
      <c r="F35">
        <v>-8000</v>
      </c>
      <c r="G35">
        <v>-8000</v>
      </c>
      <c r="H35">
        <v>-8000</v>
      </c>
    </row>
    <row r="36" spans="1:8" x14ac:dyDescent="0.3">
      <c r="A36" s="14" t="s">
        <v>49</v>
      </c>
    </row>
    <row r="37" spans="1:8" x14ac:dyDescent="0.3">
      <c r="A37" s="15" t="s">
        <v>34</v>
      </c>
      <c r="B37">
        <v>5000</v>
      </c>
      <c r="C37">
        <v>-15000</v>
      </c>
      <c r="D37">
        <v>15000</v>
      </c>
      <c r="E37">
        <v>-15000</v>
      </c>
      <c r="F37">
        <v>-15000</v>
      </c>
      <c r="G37">
        <v>-15000</v>
      </c>
      <c r="H37">
        <v>-15000</v>
      </c>
    </row>
    <row r="38" spans="1:8" x14ac:dyDescent="0.3">
      <c r="A38" s="15" t="s">
        <v>46</v>
      </c>
    </row>
    <row r="39" spans="1:8" x14ac:dyDescent="0.3">
      <c r="A39" s="48" t="s">
        <v>35</v>
      </c>
      <c r="B39">
        <v>-3000</v>
      </c>
      <c r="C39">
        <v>3000</v>
      </c>
      <c r="D39">
        <v>3000</v>
      </c>
      <c r="E39">
        <v>-3000</v>
      </c>
      <c r="F39">
        <v>-3000</v>
      </c>
      <c r="G39">
        <v>-3000</v>
      </c>
      <c r="H39">
        <v>-3000</v>
      </c>
    </row>
    <row r="40" spans="1:8" x14ac:dyDescent="0.3">
      <c r="A40" s="48" t="s">
        <v>41</v>
      </c>
      <c r="B40">
        <v>-2000</v>
      </c>
      <c r="C40">
        <v>2000</v>
      </c>
      <c r="D40">
        <v>2000</v>
      </c>
      <c r="E40">
        <v>-4000</v>
      </c>
      <c r="F40">
        <v>-4000</v>
      </c>
      <c r="G40">
        <v>-4000</v>
      </c>
      <c r="H40">
        <v>-4000</v>
      </c>
    </row>
    <row r="41" spans="1:8" x14ac:dyDescent="0.3">
      <c r="A41" s="48" t="s">
        <v>42</v>
      </c>
      <c r="B41">
        <v>-1000</v>
      </c>
      <c r="C41">
        <v>1000</v>
      </c>
      <c r="D41">
        <v>1000</v>
      </c>
      <c r="E41">
        <v>-5000</v>
      </c>
      <c r="F41">
        <v>-5000</v>
      </c>
      <c r="G41">
        <v>-5000</v>
      </c>
      <c r="H41">
        <v>-5000</v>
      </c>
    </row>
    <row r="42" spans="1:8" x14ac:dyDescent="0.3">
      <c r="A42" s="48" t="s">
        <v>43</v>
      </c>
      <c r="B42">
        <v>0</v>
      </c>
      <c r="C42">
        <v>0</v>
      </c>
      <c r="D42">
        <v>0</v>
      </c>
      <c r="E42">
        <v>-6000</v>
      </c>
      <c r="F42">
        <v>-6000</v>
      </c>
      <c r="G42">
        <v>-6000</v>
      </c>
      <c r="H42">
        <v>-6000</v>
      </c>
    </row>
    <row r="43" spans="1:8" x14ac:dyDescent="0.3">
      <c r="A43" s="48" t="s">
        <v>44</v>
      </c>
      <c r="B43">
        <v>1000</v>
      </c>
      <c r="C43">
        <v>-1000</v>
      </c>
      <c r="D43">
        <v>-1000</v>
      </c>
      <c r="E43">
        <v>-7000</v>
      </c>
      <c r="F43">
        <v>-7000</v>
      </c>
      <c r="G43">
        <v>-7000</v>
      </c>
      <c r="H43">
        <v>-7000</v>
      </c>
    </row>
    <row r="44" spans="1:8" x14ac:dyDescent="0.3">
      <c r="A44" s="15" t="s">
        <v>47</v>
      </c>
    </row>
    <row r="45" spans="1:8" x14ac:dyDescent="0.3">
      <c r="A45" s="48" t="s">
        <v>35</v>
      </c>
      <c r="B45">
        <v>-4000</v>
      </c>
      <c r="C45">
        <v>5000</v>
      </c>
      <c r="D45">
        <v>2000</v>
      </c>
      <c r="E45">
        <v>-4000</v>
      </c>
      <c r="F45">
        <v>-4000</v>
      </c>
      <c r="G45">
        <v>-4000</v>
      </c>
      <c r="H45">
        <v>-4000</v>
      </c>
    </row>
    <row r="46" spans="1:8" x14ac:dyDescent="0.3">
      <c r="A46" s="48" t="s">
        <v>41</v>
      </c>
      <c r="B46">
        <v>-3000</v>
      </c>
      <c r="C46">
        <v>4000</v>
      </c>
      <c r="D46">
        <v>1000</v>
      </c>
      <c r="E46">
        <v>-5000</v>
      </c>
      <c r="F46">
        <v>-5000</v>
      </c>
      <c r="G46">
        <v>-5000</v>
      </c>
      <c r="H46">
        <v>-5000</v>
      </c>
    </row>
    <row r="47" spans="1:8" x14ac:dyDescent="0.3">
      <c r="A47" s="48" t="s">
        <v>42</v>
      </c>
      <c r="B47">
        <v>-2000</v>
      </c>
      <c r="C47">
        <v>3000</v>
      </c>
      <c r="D47">
        <v>0</v>
      </c>
      <c r="E47">
        <v>-6000</v>
      </c>
      <c r="F47">
        <v>-6000</v>
      </c>
      <c r="G47">
        <v>-6000</v>
      </c>
      <c r="H47">
        <v>-6000</v>
      </c>
    </row>
    <row r="48" spans="1:8" x14ac:dyDescent="0.3">
      <c r="A48" s="48" t="s">
        <v>43</v>
      </c>
      <c r="B48">
        <v>-1000</v>
      </c>
      <c r="C48">
        <v>2000</v>
      </c>
      <c r="D48">
        <v>-1000</v>
      </c>
      <c r="E48">
        <v>-7000</v>
      </c>
      <c r="F48">
        <v>-7000</v>
      </c>
      <c r="G48">
        <v>-7000</v>
      </c>
      <c r="H48">
        <v>-7000</v>
      </c>
    </row>
    <row r="49" spans="1:8" x14ac:dyDescent="0.3">
      <c r="A49" s="48" t="s">
        <v>44</v>
      </c>
      <c r="B49">
        <v>0</v>
      </c>
      <c r="C49">
        <v>1000</v>
      </c>
      <c r="D49">
        <v>-2000</v>
      </c>
      <c r="E49">
        <v>-8000</v>
      </c>
      <c r="F49">
        <v>-8000</v>
      </c>
      <c r="G49">
        <v>-8000</v>
      </c>
      <c r="H49">
        <v>-8000</v>
      </c>
    </row>
    <row r="50" spans="1:8" x14ac:dyDescent="0.3">
      <c r="A50" s="15" t="s">
        <v>48</v>
      </c>
    </row>
    <row r="51" spans="1:8" x14ac:dyDescent="0.3">
      <c r="A51" s="48" t="s">
        <v>35</v>
      </c>
      <c r="B51">
        <v>-5000</v>
      </c>
      <c r="C51">
        <v>7000</v>
      </c>
      <c r="D51">
        <v>1000</v>
      </c>
      <c r="E51">
        <v>-5000</v>
      </c>
      <c r="F51">
        <v>-5000</v>
      </c>
      <c r="G51">
        <v>-5000</v>
      </c>
      <c r="H51">
        <v>-5000</v>
      </c>
    </row>
    <row r="52" spans="1:8" x14ac:dyDescent="0.3">
      <c r="A52" s="48" t="s">
        <v>41</v>
      </c>
      <c r="B52">
        <v>-4000</v>
      </c>
      <c r="C52">
        <v>6000</v>
      </c>
      <c r="D52">
        <v>0</v>
      </c>
      <c r="E52">
        <v>-6000</v>
      </c>
      <c r="F52">
        <v>-6000</v>
      </c>
      <c r="G52">
        <v>-6000</v>
      </c>
      <c r="H52">
        <v>-6000</v>
      </c>
    </row>
    <row r="53" spans="1:8" x14ac:dyDescent="0.3">
      <c r="A53" s="48" t="s">
        <v>42</v>
      </c>
      <c r="B53">
        <v>-3000</v>
      </c>
      <c r="C53">
        <v>5000</v>
      </c>
      <c r="D53">
        <v>-1000</v>
      </c>
      <c r="E53">
        <v>-7000</v>
      </c>
      <c r="F53">
        <v>-7000</v>
      </c>
      <c r="G53">
        <v>-7000</v>
      </c>
      <c r="H53">
        <v>-7000</v>
      </c>
    </row>
    <row r="54" spans="1:8" x14ac:dyDescent="0.3">
      <c r="A54" s="48" t="s">
        <v>43</v>
      </c>
      <c r="B54">
        <v>-2000</v>
      </c>
      <c r="C54">
        <v>4000</v>
      </c>
      <c r="D54">
        <v>-2000</v>
      </c>
      <c r="E54">
        <v>-8000</v>
      </c>
      <c r="F54">
        <v>-8000</v>
      </c>
      <c r="G54">
        <v>-8000</v>
      </c>
      <c r="H54">
        <v>-8000</v>
      </c>
    </row>
    <row r="55" spans="1:8" x14ac:dyDescent="0.3">
      <c r="A55" s="48" t="s">
        <v>44</v>
      </c>
      <c r="B55">
        <v>-1000</v>
      </c>
      <c r="C55">
        <v>3000</v>
      </c>
      <c r="D55">
        <v>-3000</v>
      </c>
      <c r="E55">
        <v>-9000</v>
      </c>
      <c r="F55">
        <v>-9000</v>
      </c>
      <c r="G55">
        <v>-9000</v>
      </c>
      <c r="H55">
        <v>-9000</v>
      </c>
    </row>
    <row r="56" spans="1:8" x14ac:dyDescent="0.3">
      <c r="A56" s="15" t="s">
        <v>50</v>
      </c>
    </row>
    <row r="57" spans="1:8" x14ac:dyDescent="0.3">
      <c r="A57" s="48" t="s">
        <v>35</v>
      </c>
      <c r="B57">
        <v>-2000</v>
      </c>
      <c r="C57">
        <v>1000</v>
      </c>
      <c r="D57">
        <v>4000</v>
      </c>
      <c r="E57">
        <v>-2000</v>
      </c>
      <c r="F57">
        <v>-2000</v>
      </c>
      <c r="G57">
        <v>-2000</v>
      </c>
      <c r="H57">
        <v>-2000</v>
      </c>
    </row>
    <row r="58" spans="1:8" x14ac:dyDescent="0.3">
      <c r="A58" s="48" t="s">
        <v>42</v>
      </c>
      <c r="B58">
        <v>0</v>
      </c>
      <c r="C58">
        <v>-1000</v>
      </c>
      <c r="D58">
        <v>2000</v>
      </c>
      <c r="E58">
        <v>-4000</v>
      </c>
      <c r="F58">
        <v>-4000</v>
      </c>
      <c r="G58">
        <v>-4000</v>
      </c>
      <c r="H58">
        <v>-4000</v>
      </c>
    </row>
    <row r="59" spans="1:8" x14ac:dyDescent="0.3">
      <c r="A59" s="48" t="s">
        <v>43</v>
      </c>
      <c r="B59">
        <v>1000</v>
      </c>
      <c r="C59">
        <v>-2000</v>
      </c>
      <c r="D59">
        <v>1000</v>
      </c>
      <c r="E59">
        <v>-5000</v>
      </c>
      <c r="F59">
        <v>-5000</v>
      </c>
      <c r="G59">
        <v>-5000</v>
      </c>
      <c r="H59">
        <v>-5000</v>
      </c>
    </row>
    <row r="60" spans="1:8" x14ac:dyDescent="0.3">
      <c r="A60" s="48" t="s">
        <v>44</v>
      </c>
      <c r="B60">
        <v>2000</v>
      </c>
      <c r="C60">
        <v>-3000</v>
      </c>
      <c r="D60">
        <v>0</v>
      </c>
      <c r="E60">
        <v>-6000</v>
      </c>
      <c r="F60">
        <v>-6000</v>
      </c>
      <c r="G60">
        <v>-6000</v>
      </c>
      <c r="H60">
        <v>-6000</v>
      </c>
    </row>
    <row r="61" spans="1:8" x14ac:dyDescent="0.3">
      <c r="A61" s="14" t="s">
        <v>50</v>
      </c>
      <c r="B61">
        <v>-50000</v>
      </c>
      <c r="C61">
        <v>0</v>
      </c>
      <c r="D61">
        <v>150000</v>
      </c>
      <c r="E61">
        <v>-150000</v>
      </c>
      <c r="F61">
        <v>-150000</v>
      </c>
      <c r="G61">
        <v>-150000</v>
      </c>
      <c r="H61">
        <v>-150000</v>
      </c>
    </row>
    <row r="62" spans="1:8" x14ac:dyDescent="0.3">
      <c r="A62" s="14" t="s">
        <v>51</v>
      </c>
      <c r="B62">
        <v>-75000</v>
      </c>
      <c r="C62">
        <v>-25000</v>
      </c>
      <c r="D62">
        <v>275000</v>
      </c>
      <c r="E62">
        <v>-175000</v>
      </c>
      <c r="F62">
        <v>-175000</v>
      </c>
      <c r="G62">
        <v>-175000</v>
      </c>
      <c r="H62">
        <v>-175000</v>
      </c>
    </row>
    <row r="63" spans="1:8" x14ac:dyDescent="0.3">
      <c r="A63" s="14" t="s">
        <v>52</v>
      </c>
      <c r="B63">
        <v>-100000</v>
      </c>
      <c r="C63">
        <v>-50000</v>
      </c>
      <c r="D63">
        <v>400000</v>
      </c>
      <c r="E63">
        <v>-200000</v>
      </c>
      <c r="F63">
        <v>-200000</v>
      </c>
      <c r="G63">
        <v>-200000</v>
      </c>
      <c r="H63">
        <v>-200000</v>
      </c>
    </row>
    <row r="64" spans="1:8" x14ac:dyDescent="0.3">
      <c r="A64" s="13" t="s">
        <v>37</v>
      </c>
      <c r="B64">
        <v>-373000</v>
      </c>
      <c r="C64">
        <v>-124000</v>
      </c>
      <c r="D64">
        <v>623000</v>
      </c>
      <c r="E64">
        <v>493000</v>
      </c>
      <c r="F64">
        <v>-871000</v>
      </c>
      <c r="G64">
        <v>-871000</v>
      </c>
      <c r="H64">
        <v>-871000</v>
      </c>
    </row>
    <row r="65" spans="1:8" x14ac:dyDescent="0.3">
      <c r="A65" s="13" t="s">
        <v>38</v>
      </c>
      <c r="B65">
        <v>-497000</v>
      </c>
      <c r="C65">
        <v>-248000</v>
      </c>
      <c r="D65">
        <v>499000</v>
      </c>
      <c r="E65">
        <v>1733000</v>
      </c>
      <c r="F65">
        <v>-995000</v>
      </c>
      <c r="G65">
        <v>-995000</v>
      </c>
      <c r="H65">
        <v>-995000</v>
      </c>
    </row>
    <row r="66" spans="1:8" x14ac:dyDescent="0.3">
      <c r="A66" s="13" t="s">
        <v>39</v>
      </c>
      <c r="B66">
        <v>-621000</v>
      </c>
      <c r="C66">
        <v>-372000</v>
      </c>
      <c r="D66">
        <v>375000</v>
      </c>
      <c r="E66">
        <v>2973000</v>
      </c>
      <c r="F66">
        <v>-1119000</v>
      </c>
      <c r="G66">
        <v>-1119000</v>
      </c>
      <c r="H66">
        <v>-1119000</v>
      </c>
    </row>
    <row r="67" spans="1:8" x14ac:dyDescent="0.3">
      <c r="A67" s="13" t="s">
        <v>40</v>
      </c>
      <c r="B67">
        <v>-745000</v>
      </c>
      <c r="C67">
        <v>-496000</v>
      </c>
      <c r="D67">
        <v>251000</v>
      </c>
      <c r="E67">
        <v>4213000</v>
      </c>
      <c r="F67">
        <v>-1243000</v>
      </c>
      <c r="G67">
        <v>-1243000</v>
      </c>
      <c r="H67">
        <v>-1243000</v>
      </c>
    </row>
  </sheetData>
  <phoneticPr fontId="2" type="noConversion"/>
  <conditionalFormatting pivot="1" sqref="B9:H67">
    <cfRule type="expression" dxfId="3" priority="2">
      <formula>B9&lt;0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B1FE0-74CC-4D3F-B435-26AB6A12E7DC}">
  <sheetPr codeName="Sheet2"/>
  <dimension ref="A7:I2738"/>
  <sheetViews>
    <sheetView workbookViewId="0">
      <pane ySplit="8" topLeftCell="A37" activePane="bottomLeft" state="frozen"/>
      <selection pane="bottomLeft" activeCell="A37" sqref="A37"/>
    </sheetView>
  </sheetViews>
  <sheetFormatPr defaultRowHeight="16.5" x14ac:dyDescent="0.3"/>
  <cols>
    <col min="1" max="1" width="20.125" bestFit="1" customWidth="1"/>
    <col min="2" max="2" width="11.875" bestFit="1" customWidth="1"/>
    <col min="3" max="7" width="10.375" bestFit="1" customWidth="1"/>
    <col min="8" max="8" width="11.25" bestFit="1" customWidth="1"/>
    <col min="9" max="9" width="12.375" bestFit="1" customWidth="1"/>
  </cols>
  <sheetData>
    <row r="7" spans="1:9" x14ac:dyDescent="0.3">
      <c r="A7" s="12" t="s">
        <v>11</v>
      </c>
      <c r="B7" s="12" t="s">
        <v>16</v>
      </c>
    </row>
    <row r="8" spans="1:9" x14ac:dyDescent="0.3">
      <c r="A8" s="12" t="s">
        <v>10</v>
      </c>
      <c r="B8" t="s">
        <v>52</v>
      </c>
      <c r="C8" t="s">
        <v>28</v>
      </c>
      <c r="D8" t="s">
        <v>29</v>
      </c>
      <c r="E8" t="s">
        <v>30</v>
      </c>
      <c r="F8" t="s">
        <v>25</v>
      </c>
      <c r="G8" t="s">
        <v>26</v>
      </c>
      <c r="H8" t="s">
        <v>31</v>
      </c>
      <c r="I8" t="s">
        <v>32</v>
      </c>
    </row>
    <row r="9" spans="1:9" x14ac:dyDescent="0.3">
      <c r="A9" s="13" t="s">
        <v>36</v>
      </c>
    </row>
    <row r="10" spans="1:9" x14ac:dyDescent="0.3">
      <c r="A10" s="14" t="s">
        <v>33</v>
      </c>
    </row>
    <row r="11" spans="1:9" x14ac:dyDescent="0.3">
      <c r="A11" s="15" t="s">
        <v>34</v>
      </c>
    </row>
    <row r="12" spans="1:9" x14ac:dyDescent="0.3">
      <c r="A12" s="48" t="s">
        <v>35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3">
      <c r="A13" s="48" t="s">
        <v>41</v>
      </c>
      <c r="C13">
        <v>1000</v>
      </c>
      <c r="D13">
        <v>-1000</v>
      </c>
      <c r="E13">
        <v>-1000</v>
      </c>
      <c r="F13">
        <v>-1000</v>
      </c>
      <c r="G13">
        <v>-1000</v>
      </c>
      <c r="H13">
        <v>-1000</v>
      </c>
      <c r="I13">
        <v>-1000</v>
      </c>
    </row>
    <row r="14" spans="1:9" x14ac:dyDescent="0.3">
      <c r="A14" s="48" t="s">
        <v>42</v>
      </c>
      <c r="C14">
        <v>2000</v>
      </c>
      <c r="D14">
        <v>-2000</v>
      </c>
      <c r="E14">
        <v>-2000</v>
      </c>
      <c r="F14">
        <v>-2000</v>
      </c>
      <c r="G14">
        <v>-2000</v>
      </c>
      <c r="H14">
        <v>-2000</v>
      </c>
      <c r="I14">
        <v>-2000</v>
      </c>
    </row>
    <row r="15" spans="1:9" x14ac:dyDescent="0.3">
      <c r="A15" s="48" t="s">
        <v>43</v>
      </c>
      <c r="C15">
        <v>3000</v>
      </c>
      <c r="D15">
        <v>-3000</v>
      </c>
      <c r="E15">
        <v>-3000</v>
      </c>
      <c r="F15">
        <v>-3000</v>
      </c>
      <c r="G15">
        <v>-3000</v>
      </c>
      <c r="H15">
        <v>-3000</v>
      </c>
      <c r="I15">
        <v>-3000</v>
      </c>
    </row>
    <row r="16" spans="1:9" x14ac:dyDescent="0.3">
      <c r="A16" s="48" t="s">
        <v>44</v>
      </c>
      <c r="C16">
        <v>4000</v>
      </c>
      <c r="D16">
        <v>-4000</v>
      </c>
      <c r="E16">
        <v>-4000</v>
      </c>
      <c r="F16">
        <v>-4000</v>
      </c>
      <c r="G16">
        <v>-4000</v>
      </c>
      <c r="H16">
        <v>-4000</v>
      </c>
      <c r="I16">
        <v>-4000</v>
      </c>
    </row>
    <row r="17" spans="1:9" x14ac:dyDescent="0.3">
      <c r="A17" s="48" t="s">
        <v>54</v>
      </c>
      <c r="C17">
        <v>5000</v>
      </c>
      <c r="D17">
        <v>-5000</v>
      </c>
      <c r="E17">
        <v>-5000</v>
      </c>
      <c r="F17">
        <v>-5000</v>
      </c>
      <c r="G17">
        <v>-5000</v>
      </c>
      <c r="H17">
        <v>-5000</v>
      </c>
      <c r="I17">
        <v>-5000</v>
      </c>
    </row>
    <row r="18" spans="1:9" x14ac:dyDescent="0.3">
      <c r="A18" s="48" t="s">
        <v>55</v>
      </c>
      <c r="C18">
        <v>6000</v>
      </c>
      <c r="D18">
        <v>-6000</v>
      </c>
      <c r="E18">
        <v>-6000</v>
      </c>
      <c r="F18">
        <v>-6000</v>
      </c>
      <c r="G18">
        <v>-6000</v>
      </c>
      <c r="H18">
        <v>-6000</v>
      </c>
      <c r="I18">
        <v>-6000</v>
      </c>
    </row>
    <row r="19" spans="1:9" x14ac:dyDescent="0.3">
      <c r="A19" s="48" t="s">
        <v>56</v>
      </c>
      <c r="C19">
        <v>7000</v>
      </c>
      <c r="D19">
        <v>-7000</v>
      </c>
      <c r="E19">
        <v>-7000</v>
      </c>
      <c r="F19">
        <v>-7000</v>
      </c>
      <c r="G19">
        <v>-7000</v>
      </c>
      <c r="H19">
        <v>-7000</v>
      </c>
      <c r="I19">
        <v>-7000</v>
      </c>
    </row>
    <row r="20" spans="1:9" x14ac:dyDescent="0.3">
      <c r="A20" s="48" t="s">
        <v>57</v>
      </c>
      <c r="C20">
        <v>8000</v>
      </c>
      <c r="D20">
        <v>-8000</v>
      </c>
      <c r="E20">
        <v>-8000</v>
      </c>
      <c r="F20">
        <v>-8000</v>
      </c>
      <c r="G20">
        <v>-8000</v>
      </c>
      <c r="H20">
        <v>-8000</v>
      </c>
      <c r="I20">
        <v>-8000</v>
      </c>
    </row>
    <row r="21" spans="1:9" x14ac:dyDescent="0.3">
      <c r="A21" s="48" t="s">
        <v>58</v>
      </c>
      <c r="C21">
        <v>9000</v>
      </c>
      <c r="D21">
        <v>-9000</v>
      </c>
      <c r="E21">
        <v>-9000</v>
      </c>
      <c r="F21">
        <v>-9000</v>
      </c>
      <c r="G21">
        <v>-9000</v>
      </c>
      <c r="H21">
        <v>-9000</v>
      </c>
      <c r="I21">
        <v>-9000</v>
      </c>
    </row>
    <row r="22" spans="1:9" x14ac:dyDescent="0.3">
      <c r="A22" s="15" t="s">
        <v>45</v>
      </c>
    </row>
    <row r="23" spans="1:9" x14ac:dyDescent="0.3">
      <c r="A23" s="48" t="s">
        <v>35</v>
      </c>
      <c r="C23">
        <v>-1000</v>
      </c>
      <c r="D23">
        <v>2000</v>
      </c>
      <c r="E23">
        <v>-1000</v>
      </c>
      <c r="F23">
        <v>-1000</v>
      </c>
      <c r="G23">
        <v>-1000</v>
      </c>
      <c r="H23">
        <v>-1000</v>
      </c>
      <c r="I23">
        <v>-1000</v>
      </c>
    </row>
    <row r="24" spans="1:9" x14ac:dyDescent="0.3">
      <c r="A24" s="49" t="s">
        <v>41</v>
      </c>
      <c r="C24">
        <v>0</v>
      </c>
      <c r="D24">
        <v>1000</v>
      </c>
      <c r="E24">
        <v>-2000</v>
      </c>
      <c r="F24">
        <v>-2000</v>
      </c>
      <c r="G24">
        <v>-2000</v>
      </c>
      <c r="H24">
        <v>-2000</v>
      </c>
      <c r="I24">
        <v>-2000</v>
      </c>
    </row>
    <row r="25" spans="1:9" x14ac:dyDescent="0.3">
      <c r="A25" s="49" t="s">
        <v>42</v>
      </c>
      <c r="C25">
        <v>1000</v>
      </c>
      <c r="D25">
        <v>0</v>
      </c>
      <c r="E25">
        <v>-3000</v>
      </c>
      <c r="F25">
        <v>-3000</v>
      </c>
      <c r="G25">
        <v>-3000</v>
      </c>
      <c r="H25">
        <v>-3000</v>
      </c>
      <c r="I25">
        <v>-3000</v>
      </c>
    </row>
    <row r="26" spans="1:9" x14ac:dyDescent="0.3">
      <c r="A26" s="48" t="s">
        <v>43</v>
      </c>
      <c r="C26">
        <v>2000</v>
      </c>
      <c r="D26">
        <v>-1000</v>
      </c>
      <c r="E26">
        <v>-4000</v>
      </c>
      <c r="F26">
        <v>-4000</v>
      </c>
      <c r="G26">
        <v>-4000</v>
      </c>
      <c r="H26">
        <v>-4000</v>
      </c>
      <c r="I26">
        <v>-4000</v>
      </c>
    </row>
    <row r="27" spans="1:9" x14ac:dyDescent="0.3">
      <c r="A27" s="48" t="s">
        <v>44</v>
      </c>
      <c r="C27">
        <v>3000</v>
      </c>
      <c r="D27">
        <v>-2000</v>
      </c>
      <c r="E27">
        <v>-5000</v>
      </c>
      <c r="F27">
        <v>-5000</v>
      </c>
      <c r="G27">
        <v>-5000</v>
      </c>
      <c r="H27">
        <v>-5000</v>
      </c>
      <c r="I27">
        <v>-5000</v>
      </c>
    </row>
    <row r="28" spans="1:9" x14ac:dyDescent="0.3">
      <c r="A28" s="48" t="s">
        <v>54</v>
      </c>
      <c r="C28">
        <v>4000</v>
      </c>
      <c r="D28">
        <v>-3000</v>
      </c>
      <c r="E28">
        <v>-6000</v>
      </c>
      <c r="F28">
        <v>-6000</v>
      </c>
      <c r="G28">
        <v>-6000</v>
      </c>
      <c r="H28">
        <v>-6000</v>
      </c>
      <c r="I28">
        <v>-6000</v>
      </c>
    </row>
    <row r="29" spans="1:9" x14ac:dyDescent="0.3">
      <c r="A29" s="48" t="s">
        <v>55</v>
      </c>
      <c r="C29">
        <v>5000</v>
      </c>
      <c r="D29">
        <v>-4000</v>
      </c>
      <c r="E29">
        <v>-7000</v>
      </c>
      <c r="F29">
        <v>-7000</v>
      </c>
      <c r="G29">
        <v>-7000</v>
      </c>
      <c r="H29">
        <v>-7000</v>
      </c>
      <c r="I29">
        <v>-7000</v>
      </c>
    </row>
    <row r="30" spans="1:9" x14ac:dyDescent="0.3">
      <c r="A30" s="48" t="s">
        <v>56</v>
      </c>
      <c r="C30">
        <v>6000</v>
      </c>
      <c r="D30">
        <v>-5000</v>
      </c>
      <c r="E30">
        <v>-8000</v>
      </c>
      <c r="F30">
        <v>-8000</v>
      </c>
      <c r="G30">
        <v>-8000</v>
      </c>
      <c r="H30">
        <v>-8000</v>
      </c>
      <c r="I30">
        <v>-8000</v>
      </c>
    </row>
    <row r="31" spans="1:9" x14ac:dyDescent="0.3">
      <c r="A31" s="48" t="s">
        <v>57</v>
      </c>
      <c r="C31">
        <v>7000</v>
      </c>
      <c r="D31">
        <v>-6000</v>
      </c>
      <c r="E31">
        <v>-9000</v>
      </c>
      <c r="F31">
        <v>-9000</v>
      </c>
      <c r="G31">
        <v>-9000</v>
      </c>
      <c r="H31">
        <v>-9000</v>
      </c>
      <c r="I31">
        <v>-9000</v>
      </c>
    </row>
    <row r="32" spans="1:9" x14ac:dyDescent="0.3">
      <c r="A32" s="48" t="s">
        <v>58</v>
      </c>
      <c r="C32">
        <v>8000</v>
      </c>
      <c r="D32">
        <v>-7000</v>
      </c>
      <c r="E32">
        <v>-10000</v>
      </c>
      <c r="F32">
        <v>-10000</v>
      </c>
      <c r="G32">
        <v>-10000</v>
      </c>
      <c r="H32">
        <v>-10000</v>
      </c>
      <c r="I32">
        <v>-10000</v>
      </c>
    </row>
    <row r="33" spans="1:9" x14ac:dyDescent="0.3">
      <c r="A33" s="15" t="s">
        <v>46</v>
      </c>
    </row>
    <row r="34" spans="1:9" x14ac:dyDescent="0.3">
      <c r="A34" s="48" t="s">
        <v>35</v>
      </c>
      <c r="C34">
        <v>-2000</v>
      </c>
      <c r="D34">
        <v>4000</v>
      </c>
      <c r="E34">
        <v>-2000</v>
      </c>
      <c r="F34">
        <v>-2000</v>
      </c>
      <c r="G34">
        <v>-2000</v>
      </c>
      <c r="H34">
        <v>-2000</v>
      </c>
      <c r="I34">
        <v>-2000</v>
      </c>
    </row>
    <row r="35" spans="1:9" x14ac:dyDescent="0.3">
      <c r="A35" s="48" t="s">
        <v>41</v>
      </c>
      <c r="C35">
        <v>-1000</v>
      </c>
      <c r="D35">
        <v>3000</v>
      </c>
      <c r="E35">
        <v>-3000</v>
      </c>
      <c r="F35">
        <v>-3000</v>
      </c>
      <c r="G35">
        <v>-3000</v>
      </c>
      <c r="H35">
        <v>-3000</v>
      </c>
      <c r="I35">
        <v>-3000</v>
      </c>
    </row>
    <row r="36" spans="1:9" x14ac:dyDescent="0.3">
      <c r="A36" s="49" t="s">
        <v>42</v>
      </c>
      <c r="C36">
        <v>0</v>
      </c>
      <c r="D36">
        <v>2000</v>
      </c>
      <c r="E36">
        <v>-4000</v>
      </c>
      <c r="F36">
        <v>-4000</v>
      </c>
      <c r="G36">
        <v>-4000</v>
      </c>
      <c r="H36">
        <v>-4000</v>
      </c>
      <c r="I36">
        <v>-4000</v>
      </c>
    </row>
    <row r="37" spans="1:9" x14ac:dyDescent="0.3">
      <c r="A37" s="49" t="s">
        <v>43</v>
      </c>
      <c r="C37">
        <v>1000</v>
      </c>
      <c r="D37">
        <v>1000</v>
      </c>
      <c r="E37">
        <v>-5000</v>
      </c>
      <c r="F37">
        <v>-5000</v>
      </c>
      <c r="G37">
        <v>-5000</v>
      </c>
      <c r="H37">
        <v>-5000</v>
      </c>
      <c r="I37">
        <v>-5000</v>
      </c>
    </row>
    <row r="38" spans="1:9" x14ac:dyDescent="0.3">
      <c r="A38" s="49" t="s">
        <v>44</v>
      </c>
      <c r="C38">
        <v>2000</v>
      </c>
      <c r="D38">
        <v>0</v>
      </c>
      <c r="E38">
        <v>-6000</v>
      </c>
      <c r="F38">
        <v>-6000</v>
      </c>
      <c r="G38">
        <v>-6000</v>
      </c>
      <c r="H38">
        <v>-6000</v>
      </c>
      <c r="I38">
        <v>-6000</v>
      </c>
    </row>
    <row r="39" spans="1:9" x14ac:dyDescent="0.3">
      <c r="A39" s="48" t="s">
        <v>54</v>
      </c>
      <c r="C39">
        <v>3000</v>
      </c>
      <c r="D39">
        <v>-1000</v>
      </c>
      <c r="E39">
        <v>-7000</v>
      </c>
      <c r="F39">
        <v>-7000</v>
      </c>
      <c r="G39">
        <v>-7000</v>
      </c>
      <c r="H39">
        <v>-7000</v>
      </c>
      <c r="I39">
        <v>-7000</v>
      </c>
    </row>
    <row r="40" spans="1:9" x14ac:dyDescent="0.3">
      <c r="A40" s="48" t="s">
        <v>55</v>
      </c>
      <c r="C40">
        <v>4000</v>
      </c>
      <c r="D40">
        <v>-2000</v>
      </c>
      <c r="E40">
        <v>-8000</v>
      </c>
      <c r="F40">
        <v>-8000</v>
      </c>
      <c r="G40">
        <v>-8000</v>
      </c>
      <c r="H40">
        <v>-8000</v>
      </c>
      <c r="I40">
        <v>-8000</v>
      </c>
    </row>
    <row r="41" spans="1:9" x14ac:dyDescent="0.3">
      <c r="A41" s="48" t="s">
        <v>56</v>
      </c>
      <c r="C41">
        <v>5000</v>
      </c>
      <c r="D41">
        <v>-3000</v>
      </c>
      <c r="E41">
        <v>-9000</v>
      </c>
      <c r="F41">
        <v>-9000</v>
      </c>
      <c r="G41">
        <v>-9000</v>
      </c>
      <c r="H41">
        <v>-9000</v>
      </c>
      <c r="I41">
        <v>-9000</v>
      </c>
    </row>
    <row r="42" spans="1:9" x14ac:dyDescent="0.3">
      <c r="A42" s="48" t="s">
        <v>57</v>
      </c>
      <c r="C42">
        <v>6000</v>
      </c>
      <c r="D42">
        <v>-4000</v>
      </c>
      <c r="E42">
        <v>-10000</v>
      </c>
      <c r="F42">
        <v>-10000</v>
      </c>
      <c r="G42">
        <v>-10000</v>
      </c>
      <c r="H42">
        <v>-10000</v>
      </c>
      <c r="I42">
        <v>-10000</v>
      </c>
    </row>
    <row r="43" spans="1:9" x14ac:dyDescent="0.3">
      <c r="A43" s="48" t="s">
        <v>58</v>
      </c>
      <c r="C43">
        <v>7000</v>
      </c>
      <c r="D43">
        <v>-5000</v>
      </c>
      <c r="E43">
        <v>-11000</v>
      </c>
      <c r="F43">
        <v>-11000</v>
      </c>
      <c r="G43">
        <v>-11000</v>
      </c>
      <c r="H43">
        <v>-11000</v>
      </c>
      <c r="I43">
        <v>-11000</v>
      </c>
    </row>
    <row r="44" spans="1:9" x14ac:dyDescent="0.3">
      <c r="A44" s="15" t="s">
        <v>47</v>
      </c>
    </row>
    <row r="45" spans="1:9" x14ac:dyDescent="0.3">
      <c r="A45" s="48" t="s">
        <v>35</v>
      </c>
      <c r="C45">
        <v>-3000</v>
      </c>
      <c r="D45">
        <v>6000</v>
      </c>
      <c r="E45">
        <v>-3000</v>
      </c>
      <c r="F45">
        <v>-3000</v>
      </c>
      <c r="G45">
        <v>-3000</v>
      </c>
      <c r="H45">
        <v>-3000</v>
      </c>
      <c r="I45">
        <v>-3000</v>
      </c>
    </row>
    <row r="46" spans="1:9" x14ac:dyDescent="0.3">
      <c r="A46" s="48" t="s">
        <v>41</v>
      </c>
      <c r="C46">
        <v>-2000</v>
      </c>
      <c r="D46">
        <v>5000</v>
      </c>
      <c r="E46">
        <v>-4000</v>
      </c>
      <c r="F46">
        <v>-4000</v>
      </c>
      <c r="G46">
        <v>-4000</v>
      </c>
      <c r="H46">
        <v>-4000</v>
      </c>
      <c r="I46">
        <v>-4000</v>
      </c>
    </row>
    <row r="47" spans="1:9" x14ac:dyDescent="0.3">
      <c r="A47" s="48" t="s">
        <v>42</v>
      </c>
      <c r="C47">
        <v>-1000</v>
      </c>
      <c r="D47">
        <v>4000</v>
      </c>
      <c r="E47">
        <v>-5000</v>
      </c>
      <c r="F47">
        <v>-5000</v>
      </c>
      <c r="G47">
        <v>-5000</v>
      </c>
      <c r="H47">
        <v>-5000</v>
      </c>
      <c r="I47">
        <v>-5000</v>
      </c>
    </row>
    <row r="48" spans="1:9" x14ac:dyDescent="0.3">
      <c r="A48" s="49" t="s">
        <v>43</v>
      </c>
      <c r="C48">
        <v>0</v>
      </c>
      <c r="D48">
        <v>3000</v>
      </c>
      <c r="E48">
        <v>-6000</v>
      </c>
      <c r="F48">
        <v>-6000</v>
      </c>
      <c r="G48">
        <v>-6000</v>
      </c>
      <c r="H48">
        <v>-6000</v>
      </c>
      <c r="I48">
        <v>-6000</v>
      </c>
    </row>
    <row r="49" spans="1:9" x14ac:dyDescent="0.3">
      <c r="A49" s="49" t="s">
        <v>44</v>
      </c>
      <c r="C49">
        <v>1000</v>
      </c>
      <c r="D49">
        <v>2000</v>
      </c>
      <c r="E49">
        <v>-7000</v>
      </c>
      <c r="F49">
        <v>-7000</v>
      </c>
      <c r="G49">
        <v>-7000</v>
      </c>
      <c r="H49">
        <v>-7000</v>
      </c>
      <c r="I49">
        <v>-7000</v>
      </c>
    </row>
    <row r="50" spans="1:9" x14ac:dyDescent="0.3">
      <c r="A50" s="49" t="s">
        <v>54</v>
      </c>
      <c r="C50">
        <v>2000</v>
      </c>
      <c r="D50">
        <v>1000</v>
      </c>
      <c r="E50">
        <v>-8000</v>
      </c>
      <c r="F50">
        <v>-8000</v>
      </c>
      <c r="G50">
        <v>-8000</v>
      </c>
      <c r="H50">
        <v>-8000</v>
      </c>
      <c r="I50">
        <v>-8000</v>
      </c>
    </row>
    <row r="51" spans="1:9" x14ac:dyDescent="0.3">
      <c r="A51" s="49" t="s">
        <v>55</v>
      </c>
      <c r="C51">
        <v>3000</v>
      </c>
      <c r="D51">
        <v>0</v>
      </c>
      <c r="E51">
        <v>-9000</v>
      </c>
      <c r="F51">
        <v>-9000</v>
      </c>
      <c r="G51">
        <v>-9000</v>
      </c>
      <c r="H51">
        <v>-9000</v>
      </c>
      <c r="I51">
        <v>-9000</v>
      </c>
    </row>
    <row r="52" spans="1:9" x14ac:dyDescent="0.3">
      <c r="A52" s="48" t="s">
        <v>56</v>
      </c>
      <c r="C52">
        <v>4000</v>
      </c>
      <c r="D52">
        <v>-1000</v>
      </c>
      <c r="E52">
        <v>-10000</v>
      </c>
      <c r="F52">
        <v>-10000</v>
      </c>
      <c r="G52">
        <v>-10000</v>
      </c>
      <c r="H52">
        <v>-10000</v>
      </c>
      <c r="I52">
        <v>-10000</v>
      </c>
    </row>
    <row r="53" spans="1:9" x14ac:dyDescent="0.3">
      <c r="A53" s="48" t="s">
        <v>57</v>
      </c>
      <c r="C53">
        <v>5000</v>
      </c>
      <c r="D53">
        <v>-2000</v>
      </c>
      <c r="E53">
        <v>-11000</v>
      </c>
      <c r="F53">
        <v>-11000</v>
      </c>
      <c r="G53">
        <v>-11000</v>
      </c>
      <c r="H53">
        <v>-11000</v>
      </c>
      <c r="I53">
        <v>-11000</v>
      </c>
    </row>
    <row r="54" spans="1:9" x14ac:dyDescent="0.3">
      <c r="A54" s="48" t="s">
        <v>58</v>
      </c>
      <c r="C54">
        <v>6000</v>
      </c>
      <c r="D54">
        <v>-3000</v>
      </c>
      <c r="E54">
        <v>-12000</v>
      </c>
      <c r="F54">
        <v>-12000</v>
      </c>
      <c r="G54">
        <v>-12000</v>
      </c>
      <c r="H54">
        <v>-12000</v>
      </c>
      <c r="I54">
        <v>-12000</v>
      </c>
    </row>
    <row r="55" spans="1:9" x14ac:dyDescent="0.3">
      <c r="A55" s="15" t="s">
        <v>48</v>
      </c>
    </row>
    <row r="56" spans="1:9" x14ac:dyDescent="0.3">
      <c r="A56" s="48" t="s">
        <v>35</v>
      </c>
      <c r="C56">
        <v>-4000</v>
      </c>
      <c r="D56">
        <v>8000</v>
      </c>
      <c r="E56">
        <v>-4000</v>
      </c>
      <c r="F56">
        <v>-4000</v>
      </c>
      <c r="G56">
        <v>-4000</v>
      </c>
      <c r="H56">
        <v>-4000</v>
      </c>
      <c r="I56">
        <v>-4000</v>
      </c>
    </row>
    <row r="57" spans="1:9" x14ac:dyDescent="0.3">
      <c r="A57" s="48" t="s">
        <v>41</v>
      </c>
      <c r="C57">
        <v>-3000</v>
      </c>
      <c r="D57">
        <v>7000</v>
      </c>
      <c r="E57">
        <v>-5000</v>
      </c>
      <c r="F57">
        <v>-5000</v>
      </c>
      <c r="G57">
        <v>-5000</v>
      </c>
      <c r="H57">
        <v>-5000</v>
      </c>
      <c r="I57">
        <v>-5000</v>
      </c>
    </row>
    <row r="58" spans="1:9" x14ac:dyDescent="0.3">
      <c r="A58" s="48" t="s">
        <v>42</v>
      </c>
      <c r="C58">
        <v>-2000</v>
      </c>
      <c r="D58">
        <v>6000</v>
      </c>
      <c r="E58">
        <v>-6000</v>
      </c>
      <c r="F58">
        <v>-6000</v>
      </c>
      <c r="G58">
        <v>-6000</v>
      </c>
      <c r="H58">
        <v>-6000</v>
      </c>
      <c r="I58">
        <v>-6000</v>
      </c>
    </row>
    <row r="59" spans="1:9" x14ac:dyDescent="0.3">
      <c r="A59" s="48" t="s">
        <v>43</v>
      </c>
      <c r="C59">
        <v>-1000</v>
      </c>
      <c r="D59">
        <v>5000</v>
      </c>
      <c r="E59">
        <v>-7000</v>
      </c>
      <c r="F59">
        <v>-7000</v>
      </c>
      <c r="G59">
        <v>-7000</v>
      </c>
      <c r="H59">
        <v>-7000</v>
      </c>
      <c r="I59">
        <v>-7000</v>
      </c>
    </row>
    <row r="60" spans="1:9" x14ac:dyDescent="0.3">
      <c r="A60" s="49" t="s">
        <v>44</v>
      </c>
      <c r="C60">
        <v>0</v>
      </c>
      <c r="D60">
        <v>4000</v>
      </c>
      <c r="E60">
        <v>-8000</v>
      </c>
      <c r="F60">
        <v>-8000</v>
      </c>
      <c r="G60">
        <v>-8000</v>
      </c>
      <c r="H60">
        <v>-8000</v>
      </c>
      <c r="I60">
        <v>-8000</v>
      </c>
    </row>
    <row r="61" spans="1:9" x14ac:dyDescent="0.3">
      <c r="A61" s="49" t="s">
        <v>54</v>
      </c>
      <c r="C61">
        <v>1000</v>
      </c>
      <c r="D61">
        <v>3000</v>
      </c>
      <c r="E61">
        <v>-9000</v>
      </c>
      <c r="F61">
        <v>-9000</v>
      </c>
      <c r="G61">
        <v>-9000</v>
      </c>
      <c r="H61">
        <v>-9000</v>
      </c>
      <c r="I61">
        <v>-9000</v>
      </c>
    </row>
    <row r="62" spans="1:9" x14ac:dyDescent="0.3">
      <c r="A62" s="49" t="s">
        <v>55</v>
      </c>
      <c r="C62">
        <v>2000</v>
      </c>
      <c r="D62">
        <v>2000</v>
      </c>
      <c r="E62">
        <v>-10000</v>
      </c>
      <c r="F62">
        <v>-10000</v>
      </c>
      <c r="G62">
        <v>-10000</v>
      </c>
      <c r="H62">
        <v>-10000</v>
      </c>
      <c r="I62">
        <v>-10000</v>
      </c>
    </row>
    <row r="63" spans="1:9" x14ac:dyDescent="0.3">
      <c r="A63" s="49" t="s">
        <v>56</v>
      </c>
      <c r="C63">
        <v>3000</v>
      </c>
      <c r="D63">
        <v>1000</v>
      </c>
      <c r="E63">
        <v>-11000</v>
      </c>
      <c r="F63">
        <v>-11000</v>
      </c>
      <c r="G63">
        <v>-11000</v>
      </c>
      <c r="H63">
        <v>-11000</v>
      </c>
      <c r="I63">
        <v>-11000</v>
      </c>
    </row>
    <row r="64" spans="1:9" x14ac:dyDescent="0.3">
      <c r="A64" s="49" t="s">
        <v>57</v>
      </c>
      <c r="C64">
        <v>4000</v>
      </c>
      <c r="D64">
        <v>0</v>
      </c>
      <c r="E64">
        <v>-12000</v>
      </c>
      <c r="F64">
        <v>-12000</v>
      </c>
      <c r="G64">
        <v>-12000</v>
      </c>
      <c r="H64">
        <v>-12000</v>
      </c>
      <c r="I64">
        <v>-12000</v>
      </c>
    </row>
    <row r="65" spans="1:9" x14ac:dyDescent="0.3">
      <c r="A65" s="48" t="s">
        <v>58</v>
      </c>
      <c r="C65">
        <v>5000</v>
      </c>
      <c r="D65">
        <v>-1000</v>
      </c>
      <c r="E65">
        <v>-13000</v>
      </c>
      <c r="F65">
        <v>-13000</v>
      </c>
      <c r="G65">
        <v>-13000</v>
      </c>
      <c r="H65">
        <v>-13000</v>
      </c>
      <c r="I65">
        <v>-13000</v>
      </c>
    </row>
    <row r="66" spans="1:9" x14ac:dyDescent="0.3">
      <c r="A66" s="15" t="s">
        <v>59</v>
      </c>
    </row>
    <row r="67" spans="1:9" x14ac:dyDescent="0.3">
      <c r="A67" s="48" t="s">
        <v>35</v>
      </c>
      <c r="C67">
        <v>-5000</v>
      </c>
      <c r="D67">
        <v>10000</v>
      </c>
      <c r="E67">
        <v>-5000</v>
      </c>
      <c r="F67">
        <v>-5000</v>
      </c>
      <c r="G67">
        <v>-5000</v>
      </c>
      <c r="H67">
        <v>-5000</v>
      </c>
      <c r="I67">
        <v>-5000</v>
      </c>
    </row>
    <row r="68" spans="1:9" x14ac:dyDescent="0.3">
      <c r="A68" s="48" t="s">
        <v>41</v>
      </c>
      <c r="C68">
        <v>-4000</v>
      </c>
      <c r="D68">
        <v>9000</v>
      </c>
      <c r="E68">
        <v>-6000</v>
      </c>
      <c r="F68">
        <v>-6000</v>
      </c>
      <c r="G68">
        <v>-6000</v>
      </c>
      <c r="H68">
        <v>-6000</v>
      </c>
      <c r="I68">
        <v>-6000</v>
      </c>
    </row>
    <row r="69" spans="1:9" x14ac:dyDescent="0.3">
      <c r="A69" s="48" t="s">
        <v>42</v>
      </c>
      <c r="C69">
        <v>-3000</v>
      </c>
      <c r="D69">
        <v>8000</v>
      </c>
      <c r="E69">
        <v>-7000</v>
      </c>
      <c r="F69">
        <v>-7000</v>
      </c>
      <c r="G69">
        <v>-7000</v>
      </c>
      <c r="H69">
        <v>-7000</v>
      </c>
      <c r="I69">
        <v>-7000</v>
      </c>
    </row>
    <row r="70" spans="1:9" x14ac:dyDescent="0.3">
      <c r="A70" s="48" t="s">
        <v>43</v>
      </c>
      <c r="C70">
        <v>-2000</v>
      </c>
      <c r="D70">
        <v>7000</v>
      </c>
      <c r="E70">
        <v>-8000</v>
      </c>
      <c r="F70">
        <v>-8000</v>
      </c>
      <c r="G70">
        <v>-8000</v>
      </c>
      <c r="H70">
        <v>-8000</v>
      </c>
      <c r="I70">
        <v>-8000</v>
      </c>
    </row>
    <row r="71" spans="1:9" x14ac:dyDescent="0.3">
      <c r="A71" s="48" t="s">
        <v>44</v>
      </c>
      <c r="C71">
        <v>-1000</v>
      </c>
      <c r="D71">
        <v>6000</v>
      </c>
      <c r="E71">
        <v>-9000</v>
      </c>
      <c r="F71">
        <v>-9000</v>
      </c>
      <c r="G71">
        <v>-9000</v>
      </c>
      <c r="H71">
        <v>-9000</v>
      </c>
      <c r="I71">
        <v>-9000</v>
      </c>
    </row>
    <row r="72" spans="1:9" x14ac:dyDescent="0.3">
      <c r="A72" s="49" t="s">
        <v>54</v>
      </c>
      <c r="C72">
        <v>0</v>
      </c>
      <c r="D72">
        <v>5000</v>
      </c>
      <c r="E72">
        <v>-10000</v>
      </c>
      <c r="F72">
        <v>-10000</v>
      </c>
      <c r="G72">
        <v>-10000</v>
      </c>
      <c r="H72">
        <v>-10000</v>
      </c>
      <c r="I72">
        <v>-10000</v>
      </c>
    </row>
    <row r="73" spans="1:9" x14ac:dyDescent="0.3">
      <c r="A73" s="49" t="s">
        <v>55</v>
      </c>
      <c r="C73">
        <v>1000</v>
      </c>
      <c r="D73">
        <v>4000</v>
      </c>
      <c r="E73">
        <v>-11000</v>
      </c>
      <c r="F73">
        <v>-11000</v>
      </c>
      <c r="G73">
        <v>-11000</v>
      </c>
      <c r="H73">
        <v>-11000</v>
      </c>
      <c r="I73">
        <v>-11000</v>
      </c>
    </row>
    <row r="74" spans="1:9" x14ac:dyDescent="0.3">
      <c r="A74" s="49" t="s">
        <v>56</v>
      </c>
      <c r="C74">
        <v>2000</v>
      </c>
      <c r="D74">
        <v>3000</v>
      </c>
      <c r="E74">
        <v>-12000</v>
      </c>
      <c r="F74">
        <v>-12000</v>
      </c>
      <c r="G74">
        <v>-12000</v>
      </c>
      <c r="H74">
        <v>-12000</v>
      </c>
      <c r="I74">
        <v>-12000</v>
      </c>
    </row>
    <row r="75" spans="1:9" x14ac:dyDescent="0.3">
      <c r="A75" s="49" t="s">
        <v>57</v>
      </c>
      <c r="C75">
        <v>3000</v>
      </c>
      <c r="D75">
        <v>2000</v>
      </c>
      <c r="E75">
        <v>-13000</v>
      </c>
      <c r="F75">
        <v>-13000</v>
      </c>
      <c r="G75">
        <v>-13000</v>
      </c>
      <c r="H75">
        <v>-13000</v>
      </c>
      <c r="I75">
        <v>-13000</v>
      </c>
    </row>
    <row r="76" spans="1:9" x14ac:dyDescent="0.3">
      <c r="A76" s="49" t="s">
        <v>58</v>
      </c>
      <c r="C76">
        <v>4000</v>
      </c>
      <c r="D76">
        <v>1000</v>
      </c>
      <c r="E76">
        <v>-14000</v>
      </c>
      <c r="F76">
        <v>-14000</v>
      </c>
      <c r="G76">
        <v>-14000</v>
      </c>
      <c r="H76">
        <v>-14000</v>
      </c>
      <c r="I76">
        <v>-14000</v>
      </c>
    </row>
    <row r="77" spans="1:9" x14ac:dyDescent="0.3">
      <c r="A77" s="15" t="s">
        <v>60</v>
      </c>
    </row>
    <row r="78" spans="1:9" x14ac:dyDescent="0.3">
      <c r="A78" s="48" t="s">
        <v>35</v>
      </c>
      <c r="C78">
        <v>-6000</v>
      </c>
      <c r="D78">
        <v>12000</v>
      </c>
      <c r="E78">
        <v>-6000</v>
      </c>
      <c r="F78">
        <v>-6000</v>
      </c>
      <c r="G78">
        <v>-6000</v>
      </c>
      <c r="H78">
        <v>-6000</v>
      </c>
      <c r="I78">
        <v>-6000</v>
      </c>
    </row>
    <row r="79" spans="1:9" x14ac:dyDescent="0.3">
      <c r="A79" s="48" t="s">
        <v>41</v>
      </c>
      <c r="C79">
        <v>-5000</v>
      </c>
      <c r="D79">
        <v>11000</v>
      </c>
      <c r="E79">
        <v>-7000</v>
      </c>
      <c r="F79">
        <v>-7000</v>
      </c>
      <c r="G79">
        <v>-7000</v>
      </c>
      <c r="H79">
        <v>-7000</v>
      </c>
      <c r="I79">
        <v>-7000</v>
      </c>
    </row>
    <row r="80" spans="1:9" x14ac:dyDescent="0.3">
      <c r="A80" s="48" t="s">
        <v>42</v>
      </c>
      <c r="C80">
        <v>-4000</v>
      </c>
      <c r="D80">
        <v>10000</v>
      </c>
      <c r="E80">
        <v>-8000</v>
      </c>
      <c r="F80">
        <v>-8000</v>
      </c>
      <c r="G80">
        <v>-8000</v>
      </c>
      <c r="H80">
        <v>-8000</v>
      </c>
      <c r="I80">
        <v>-8000</v>
      </c>
    </row>
    <row r="81" spans="1:9" x14ac:dyDescent="0.3">
      <c r="A81" s="48" t="s">
        <v>43</v>
      </c>
      <c r="C81">
        <v>-3000</v>
      </c>
      <c r="D81">
        <v>9000</v>
      </c>
      <c r="E81">
        <v>-9000</v>
      </c>
      <c r="F81">
        <v>-9000</v>
      </c>
      <c r="G81">
        <v>-9000</v>
      </c>
      <c r="H81">
        <v>-9000</v>
      </c>
      <c r="I81">
        <v>-9000</v>
      </c>
    </row>
    <row r="82" spans="1:9" x14ac:dyDescent="0.3">
      <c r="A82" s="48" t="s">
        <v>44</v>
      </c>
      <c r="C82">
        <v>-2000</v>
      </c>
      <c r="D82">
        <v>8000</v>
      </c>
      <c r="E82">
        <v>-10000</v>
      </c>
      <c r="F82">
        <v>-10000</v>
      </c>
      <c r="G82">
        <v>-10000</v>
      </c>
      <c r="H82">
        <v>-10000</v>
      </c>
      <c r="I82">
        <v>-10000</v>
      </c>
    </row>
    <row r="83" spans="1:9" x14ac:dyDescent="0.3">
      <c r="A83" s="48" t="s">
        <v>54</v>
      </c>
      <c r="C83">
        <v>-1000</v>
      </c>
      <c r="D83">
        <v>7000</v>
      </c>
      <c r="E83">
        <v>-11000</v>
      </c>
      <c r="F83">
        <v>-11000</v>
      </c>
      <c r="G83">
        <v>-11000</v>
      </c>
      <c r="H83">
        <v>-11000</v>
      </c>
      <c r="I83">
        <v>-11000</v>
      </c>
    </row>
    <row r="84" spans="1:9" x14ac:dyDescent="0.3">
      <c r="A84" s="49" t="s">
        <v>55</v>
      </c>
      <c r="C84">
        <v>0</v>
      </c>
      <c r="D84">
        <v>6000</v>
      </c>
      <c r="E84">
        <v>-12000</v>
      </c>
      <c r="F84">
        <v>-12000</v>
      </c>
      <c r="G84">
        <v>-12000</v>
      </c>
      <c r="H84">
        <v>-12000</v>
      </c>
      <c r="I84">
        <v>-12000</v>
      </c>
    </row>
    <row r="85" spans="1:9" x14ac:dyDescent="0.3">
      <c r="A85" s="49" t="s">
        <v>56</v>
      </c>
      <c r="C85">
        <v>1000</v>
      </c>
      <c r="D85">
        <v>5000</v>
      </c>
      <c r="E85">
        <v>-13000</v>
      </c>
      <c r="F85">
        <v>-13000</v>
      </c>
      <c r="G85">
        <v>-13000</v>
      </c>
      <c r="H85">
        <v>-13000</v>
      </c>
      <c r="I85">
        <v>-13000</v>
      </c>
    </row>
    <row r="86" spans="1:9" x14ac:dyDescent="0.3">
      <c r="A86" s="49" t="s">
        <v>57</v>
      </c>
      <c r="C86">
        <v>2000</v>
      </c>
      <c r="D86">
        <v>4000</v>
      </c>
      <c r="E86">
        <v>-14000</v>
      </c>
      <c r="F86">
        <v>-14000</v>
      </c>
      <c r="G86">
        <v>-14000</v>
      </c>
      <c r="H86">
        <v>-14000</v>
      </c>
      <c r="I86">
        <v>-14000</v>
      </c>
    </row>
    <row r="87" spans="1:9" x14ac:dyDescent="0.3">
      <c r="A87" s="49" t="s">
        <v>58</v>
      </c>
      <c r="C87">
        <v>3000</v>
      </c>
      <c r="D87">
        <v>3000</v>
      </c>
      <c r="E87">
        <v>-15000</v>
      </c>
      <c r="F87">
        <v>-15000</v>
      </c>
      <c r="G87">
        <v>-15000</v>
      </c>
      <c r="H87">
        <v>-15000</v>
      </c>
      <c r="I87">
        <v>-15000</v>
      </c>
    </row>
    <row r="88" spans="1:9" x14ac:dyDescent="0.3">
      <c r="A88" s="15" t="s">
        <v>61</v>
      </c>
    </row>
    <row r="89" spans="1:9" x14ac:dyDescent="0.3">
      <c r="A89" s="48" t="s">
        <v>35</v>
      </c>
      <c r="C89">
        <v>-7000</v>
      </c>
      <c r="D89">
        <v>14000</v>
      </c>
      <c r="E89">
        <v>-7000</v>
      </c>
      <c r="F89">
        <v>-7000</v>
      </c>
      <c r="G89">
        <v>-7000</v>
      </c>
      <c r="H89">
        <v>-7000</v>
      </c>
      <c r="I89">
        <v>-7000</v>
      </c>
    </row>
    <row r="90" spans="1:9" x14ac:dyDescent="0.3">
      <c r="A90" s="48" t="s">
        <v>41</v>
      </c>
      <c r="C90">
        <v>-6000</v>
      </c>
      <c r="D90">
        <v>13000</v>
      </c>
      <c r="E90">
        <v>-8000</v>
      </c>
      <c r="F90">
        <v>-8000</v>
      </c>
      <c r="G90">
        <v>-8000</v>
      </c>
      <c r="H90">
        <v>-8000</v>
      </c>
      <c r="I90">
        <v>-8000</v>
      </c>
    </row>
    <row r="91" spans="1:9" x14ac:dyDescent="0.3">
      <c r="A91" s="48" t="s">
        <v>42</v>
      </c>
      <c r="C91">
        <v>-5000</v>
      </c>
      <c r="D91">
        <v>12000</v>
      </c>
      <c r="E91">
        <v>-9000</v>
      </c>
      <c r="F91">
        <v>-9000</v>
      </c>
      <c r="G91">
        <v>-9000</v>
      </c>
      <c r="H91">
        <v>-9000</v>
      </c>
      <c r="I91">
        <v>-9000</v>
      </c>
    </row>
    <row r="92" spans="1:9" x14ac:dyDescent="0.3">
      <c r="A92" s="48" t="s">
        <v>43</v>
      </c>
      <c r="C92">
        <v>-4000</v>
      </c>
      <c r="D92">
        <v>11000</v>
      </c>
      <c r="E92">
        <v>-10000</v>
      </c>
      <c r="F92">
        <v>-10000</v>
      </c>
      <c r="G92">
        <v>-10000</v>
      </c>
      <c r="H92">
        <v>-10000</v>
      </c>
      <c r="I92">
        <v>-10000</v>
      </c>
    </row>
    <row r="93" spans="1:9" x14ac:dyDescent="0.3">
      <c r="A93" s="48" t="s">
        <v>44</v>
      </c>
      <c r="C93">
        <v>-3000</v>
      </c>
      <c r="D93">
        <v>10000</v>
      </c>
      <c r="E93">
        <v>-11000</v>
      </c>
      <c r="F93">
        <v>-11000</v>
      </c>
      <c r="G93">
        <v>-11000</v>
      </c>
      <c r="H93">
        <v>-11000</v>
      </c>
      <c r="I93">
        <v>-11000</v>
      </c>
    </row>
    <row r="94" spans="1:9" x14ac:dyDescent="0.3">
      <c r="A94" s="48" t="s">
        <v>54</v>
      </c>
      <c r="C94">
        <v>-2000</v>
      </c>
      <c r="D94">
        <v>9000</v>
      </c>
      <c r="E94">
        <v>-12000</v>
      </c>
      <c r="F94">
        <v>-12000</v>
      </c>
      <c r="G94">
        <v>-12000</v>
      </c>
      <c r="H94">
        <v>-12000</v>
      </c>
      <c r="I94">
        <v>-12000</v>
      </c>
    </row>
    <row r="95" spans="1:9" x14ac:dyDescent="0.3">
      <c r="A95" s="48" t="s">
        <v>55</v>
      </c>
      <c r="C95">
        <v>-1000</v>
      </c>
      <c r="D95">
        <v>8000</v>
      </c>
      <c r="E95">
        <v>-13000</v>
      </c>
      <c r="F95">
        <v>-13000</v>
      </c>
      <c r="G95">
        <v>-13000</v>
      </c>
      <c r="H95">
        <v>-13000</v>
      </c>
      <c r="I95">
        <v>-13000</v>
      </c>
    </row>
    <row r="96" spans="1:9" x14ac:dyDescent="0.3">
      <c r="A96" s="49" t="s">
        <v>56</v>
      </c>
      <c r="C96">
        <v>0</v>
      </c>
      <c r="D96">
        <v>7000</v>
      </c>
      <c r="E96">
        <v>-14000</v>
      </c>
      <c r="F96">
        <v>-14000</v>
      </c>
      <c r="G96">
        <v>-14000</v>
      </c>
      <c r="H96">
        <v>-14000</v>
      </c>
      <c r="I96">
        <v>-14000</v>
      </c>
    </row>
    <row r="97" spans="1:9" x14ac:dyDescent="0.3">
      <c r="A97" s="49" t="s">
        <v>57</v>
      </c>
      <c r="C97">
        <v>1000</v>
      </c>
      <c r="D97">
        <v>6000</v>
      </c>
      <c r="E97">
        <v>-15000</v>
      </c>
      <c r="F97">
        <v>-15000</v>
      </c>
      <c r="G97">
        <v>-15000</v>
      </c>
      <c r="H97">
        <v>-15000</v>
      </c>
      <c r="I97">
        <v>-15000</v>
      </c>
    </row>
    <row r="98" spans="1:9" x14ac:dyDescent="0.3">
      <c r="A98" s="49" t="s">
        <v>58</v>
      </c>
      <c r="C98">
        <v>2000</v>
      </c>
      <c r="D98">
        <v>5000</v>
      </c>
      <c r="E98">
        <v>-16000</v>
      </c>
      <c r="F98">
        <v>-16000</v>
      </c>
      <c r="G98">
        <v>-16000</v>
      </c>
      <c r="H98">
        <v>-16000</v>
      </c>
      <c r="I98">
        <v>-16000</v>
      </c>
    </row>
    <row r="99" spans="1:9" x14ac:dyDescent="0.3">
      <c r="A99" s="15" t="s">
        <v>62</v>
      </c>
    </row>
    <row r="100" spans="1:9" x14ac:dyDescent="0.3">
      <c r="A100" s="48" t="s">
        <v>35</v>
      </c>
      <c r="C100">
        <v>-8000</v>
      </c>
      <c r="D100">
        <v>16000</v>
      </c>
      <c r="E100">
        <v>-8000</v>
      </c>
      <c r="F100">
        <v>-8000</v>
      </c>
      <c r="G100">
        <v>-8000</v>
      </c>
      <c r="H100">
        <v>-8000</v>
      </c>
      <c r="I100">
        <v>-8000</v>
      </c>
    </row>
    <row r="101" spans="1:9" x14ac:dyDescent="0.3">
      <c r="A101" s="48" t="s">
        <v>41</v>
      </c>
      <c r="C101">
        <v>-7000</v>
      </c>
      <c r="D101">
        <v>15000</v>
      </c>
      <c r="E101">
        <v>-9000</v>
      </c>
      <c r="F101">
        <v>-9000</v>
      </c>
      <c r="G101">
        <v>-9000</v>
      </c>
      <c r="H101">
        <v>-9000</v>
      </c>
      <c r="I101">
        <v>-9000</v>
      </c>
    </row>
    <row r="102" spans="1:9" x14ac:dyDescent="0.3">
      <c r="A102" s="48" t="s">
        <v>42</v>
      </c>
      <c r="C102">
        <v>-6000</v>
      </c>
      <c r="D102">
        <v>14000</v>
      </c>
      <c r="E102">
        <v>-10000</v>
      </c>
      <c r="F102">
        <v>-10000</v>
      </c>
      <c r="G102">
        <v>-10000</v>
      </c>
      <c r="H102">
        <v>-10000</v>
      </c>
      <c r="I102">
        <v>-10000</v>
      </c>
    </row>
    <row r="103" spans="1:9" x14ac:dyDescent="0.3">
      <c r="A103" s="48" t="s">
        <v>43</v>
      </c>
      <c r="C103">
        <v>-5000</v>
      </c>
      <c r="D103">
        <v>13000</v>
      </c>
      <c r="E103">
        <v>-11000</v>
      </c>
      <c r="F103">
        <v>-11000</v>
      </c>
      <c r="G103">
        <v>-11000</v>
      </c>
      <c r="H103">
        <v>-11000</v>
      </c>
      <c r="I103">
        <v>-11000</v>
      </c>
    </row>
    <row r="104" spans="1:9" x14ac:dyDescent="0.3">
      <c r="A104" s="48" t="s">
        <v>44</v>
      </c>
      <c r="C104">
        <v>-4000</v>
      </c>
      <c r="D104">
        <v>12000</v>
      </c>
      <c r="E104">
        <v>-12000</v>
      </c>
      <c r="F104">
        <v>-12000</v>
      </c>
      <c r="G104">
        <v>-12000</v>
      </c>
      <c r="H104">
        <v>-12000</v>
      </c>
      <c r="I104">
        <v>-12000</v>
      </c>
    </row>
    <row r="105" spans="1:9" x14ac:dyDescent="0.3">
      <c r="A105" s="48" t="s">
        <v>54</v>
      </c>
      <c r="C105">
        <v>-3000</v>
      </c>
      <c r="D105">
        <v>11000</v>
      </c>
      <c r="E105">
        <v>-13000</v>
      </c>
      <c r="F105">
        <v>-13000</v>
      </c>
      <c r="G105">
        <v>-13000</v>
      </c>
      <c r="H105">
        <v>-13000</v>
      </c>
      <c r="I105">
        <v>-13000</v>
      </c>
    </row>
    <row r="106" spans="1:9" x14ac:dyDescent="0.3">
      <c r="A106" s="48" t="s">
        <v>55</v>
      </c>
      <c r="C106">
        <v>-2000</v>
      </c>
      <c r="D106">
        <v>10000</v>
      </c>
      <c r="E106">
        <v>-14000</v>
      </c>
      <c r="F106">
        <v>-14000</v>
      </c>
      <c r="G106">
        <v>-14000</v>
      </c>
      <c r="H106">
        <v>-14000</v>
      </c>
      <c r="I106">
        <v>-14000</v>
      </c>
    </row>
    <row r="107" spans="1:9" x14ac:dyDescent="0.3">
      <c r="A107" s="48" t="s">
        <v>56</v>
      </c>
      <c r="C107">
        <v>-1000</v>
      </c>
      <c r="D107">
        <v>9000</v>
      </c>
      <c r="E107">
        <v>-15000</v>
      </c>
      <c r="F107">
        <v>-15000</v>
      </c>
      <c r="G107">
        <v>-15000</v>
      </c>
      <c r="H107">
        <v>-15000</v>
      </c>
      <c r="I107">
        <v>-15000</v>
      </c>
    </row>
    <row r="108" spans="1:9" x14ac:dyDescent="0.3">
      <c r="A108" s="48" t="s">
        <v>57</v>
      </c>
      <c r="C108">
        <v>0</v>
      </c>
      <c r="D108">
        <v>8000</v>
      </c>
      <c r="E108">
        <v>-16000</v>
      </c>
      <c r="F108">
        <v>-16000</v>
      </c>
      <c r="G108">
        <v>-16000</v>
      </c>
      <c r="H108">
        <v>-16000</v>
      </c>
      <c r="I108">
        <v>-16000</v>
      </c>
    </row>
    <row r="109" spans="1:9" x14ac:dyDescent="0.3">
      <c r="A109" s="48" t="s">
        <v>58</v>
      </c>
      <c r="C109">
        <v>1000</v>
      </c>
      <c r="D109">
        <v>7000</v>
      </c>
      <c r="E109">
        <v>-17000</v>
      </c>
      <c r="F109">
        <v>-17000</v>
      </c>
      <c r="G109">
        <v>-17000</v>
      </c>
      <c r="H109">
        <v>-17000</v>
      </c>
      <c r="I109">
        <v>-17000</v>
      </c>
    </row>
    <row r="110" spans="1:9" x14ac:dyDescent="0.3">
      <c r="A110" s="15" t="s">
        <v>63</v>
      </c>
    </row>
    <row r="111" spans="1:9" x14ac:dyDescent="0.3">
      <c r="A111" s="48" t="s">
        <v>35</v>
      </c>
      <c r="C111">
        <v>-9000</v>
      </c>
      <c r="D111">
        <v>18000</v>
      </c>
      <c r="E111">
        <v>-9000</v>
      </c>
      <c r="F111">
        <v>-9000</v>
      </c>
      <c r="G111">
        <v>-9000</v>
      </c>
      <c r="H111">
        <v>-9000</v>
      </c>
      <c r="I111">
        <v>-9000</v>
      </c>
    </row>
    <row r="112" spans="1:9" x14ac:dyDescent="0.3">
      <c r="A112" s="48" t="s">
        <v>41</v>
      </c>
      <c r="C112">
        <v>-8000</v>
      </c>
      <c r="D112">
        <v>17000</v>
      </c>
      <c r="E112">
        <v>-10000</v>
      </c>
      <c r="F112">
        <v>-10000</v>
      </c>
      <c r="G112">
        <v>-10000</v>
      </c>
      <c r="H112">
        <v>-10000</v>
      </c>
      <c r="I112">
        <v>-10000</v>
      </c>
    </row>
    <row r="113" spans="1:9" x14ac:dyDescent="0.3">
      <c r="A113" s="48" t="s">
        <v>42</v>
      </c>
      <c r="C113">
        <v>-7000</v>
      </c>
      <c r="D113">
        <v>16000</v>
      </c>
      <c r="E113">
        <v>-11000</v>
      </c>
      <c r="F113">
        <v>-11000</v>
      </c>
      <c r="G113">
        <v>-11000</v>
      </c>
      <c r="H113">
        <v>-11000</v>
      </c>
      <c r="I113">
        <v>-11000</v>
      </c>
    </row>
    <row r="114" spans="1:9" x14ac:dyDescent="0.3">
      <c r="A114" s="48" t="s">
        <v>43</v>
      </c>
      <c r="C114">
        <v>-6000</v>
      </c>
      <c r="D114">
        <v>15000</v>
      </c>
      <c r="E114">
        <v>-12000</v>
      </c>
      <c r="F114">
        <v>-12000</v>
      </c>
      <c r="G114">
        <v>-12000</v>
      </c>
      <c r="H114">
        <v>-12000</v>
      </c>
      <c r="I114">
        <v>-12000</v>
      </c>
    </row>
    <row r="115" spans="1:9" x14ac:dyDescent="0.3">
      <c r="A115" s="48" t="s">
        <v>44</v>
      </c>
      <c r="C115">
        <v>-5000</v>
      </c>
      <c r="D115">
        <v>14000</v>
      </c>
      <c r="E115">
        <v>-13000</v>
      </c>
      <c r="F115">
        <v>-13000</v>
      </c>
      <c r="G115">
        <v>-13000</v>
      </c>
      <c r="H115">
        <v>-13000</v>
      </c>
      <c r="I115">
        <v>-13000</v>
      </c>
    </row>
    <row r="116" spans="1:9" x14ac:dyDescent="0.3">
      <c r="A116" s="48" t="s">
        <v>54</v>
      </c>
      <c r="C116">
        <v>-4000</v>
      </c>
      <c r="D116">
        <v>13000</v>
      </c>
      <c r="E116">
        <v>-14000</v>
      </c>
      <c r="F116">
        <v>-14000</v>
      </c>
      <c r="G116">
        <v>-14000</v>
      </c>
      <c r="H116">
        <v>-14000</v>
      </c>
      <c r="I116">
        <v>-14000</v>
      </c>
    </row>
    <row r="117" spans="1:9" x14ac:dyDescent="0.3">
      <c r="A117" s="48" t="s">
        <v>55</v>
      </c>
      <c r="C117">
        <v>-3000</v>
      </c>
      <c r="D117">
        <v>12000</v>
      </c>
      <c r="E117">
        <v>-15000</v>
      </c>
      <c r="F117">
        <v>-15000</v>
      </c>
      <c r="G117">
        <v>-15000</v>
      </c>
      <c r="H117">
        <v>-15000</v>
      </c>
      <c r="I117">
        <v>-15000</v>
      </c>
    </row>
    <row r="118" spans="1:9" x14ac:dyDescent="0.3">
      <c r="A118" s="48" t="s">
        <v>56</v>
      </c>
      <c r="C118">
        <v>-2000</v>
      </c>
      <c r="D118">
        <v>11000</v>
      </c>
      <c r="E118">
        <v>-16000</v>
      </c>
      <c r="F118">
        <v>-16000</v>
      </c>
      <c r="G118">
        <v>-16000</v>
      </c>
      <c r="H118">
        <v>-16000</v>
      </c>
      <c r="I118">
        <v>-16000</v>
      </c>
    </row>
    <row r="119" spans="1:9" x14ac:dyDescent="0.3">
      <c r="A119" s="48" t="s">
        <v>57</v>
      </c>
      <c r="C119">
        <v>-1000</v>
      </c>
      <c r="D119">
        <v>10000</v>
      </c>
      <c r="E119">
        <v>-17000</v>
      </c>
      <c r="F119">
        <v>-17000</v>
      </c>
      <c r="G119">
        <v>-17000</v>
      </c>
      <c r="H119">
        <v>-17000</v>
      </c>
      <c r="I119">
        <v>-17000</v>
      </c>
    </row>
    <row r="120" spans="1:9" x14ac:dyDescent="0.3">
      <c r="A120" s="48" t="s">
        <v>58</v>
      </c>
      <c r="C120">
        <v>0</v>
      </c>
      <c r="D120">
        <v>9000</v>
      </c>
      <c r="E120">
        <v>-18000</v>
      </c>
      <c r="F120">
        <v>-18000</v>
      </c>
      <c r="G120">
        <v>-18000</v>
      </c>
      <c r="H120">
        <v>-18000</v>
      </c>
      <c r="I120">
        <v>-18000</v>
      </c>
    </row>
    <row r="121" spans="1:9" x14ac:dyDescent="0.3">
      <c r="A121" s="14" t="s">
        <v>49</v>
      </c>
    </row>
    <row r="122" spans="1:9" x14ac:dyDescent="0.3">
      <c r="A122" s="15" t="s">
        <v>34</v>
      </c>
    </row>
    <row r="123" spans="1:9" x14ac:dyDescent="0.3">
      <c r="A123" s="48" t="s">
        <v>35</v>
      </c>
      <c r="C123">
        <v>-1000</v>
      </c>
      <c r="D123">
        <v>-1000</v>
      </c>
      <c r="E123">
        <v>5000</v>
      </c>
      <c r="F123">
        <v>-1000</v>
      </c>
      <c r="G123">
        <v>-1000</v>
      </c>
      <c r="H123">
        <v>-1000</v>
      </c>
      <c r="I123">
        <v>-1000</v>
      </c>
    </row>
    <row r="124" spans="1:9" x14ac:dyDescent="0.3">
      <c r="A124" s="48" t="s">
        <v>41</v>
      </c>
      <c r="C124">
        <v>0</v>
      </c>
      <c r="D124">
        <v>-2000</v>
      </c>
      <c r="E124">
        <v>4000</v>
      </c>
      <c r="F124">
        <v>-2000</v>
      </c>
      <c r="G124">
        <v>-2000</v>
      </c>
      <c r="H124">
        <v>-2000</v>
      </c>
      <c r="I124">
        <v>-2000</v>
      </c>
    </row>
    <row r="125" spans="1:9" x14ac:dyDescent="0.3">
      <c r="A125" s="48" t="s">
        <v>42</v>
      </c>
      <c r="C125">
        <v>1000</v>
      </c>
      <c r="D125">
        <v>-3000</v>
      </c>
      <c r="E125">
        <v>3000</v>
      </c>
      <c r="F125">
        <v>-3000</v>
      </c>
      <c r="G125">
        <v>-3000</v>
      </c>
      <c r="H125">
        <v>-3000</v>
      </c>
      <c r="I125">
        <v>-3000</v>
      </c>
    </row>
    <row r="126" spans="1:9" x14ac:dyDescent="0.3">
      <c r="A126" s="48" t="s">
        <v>43</v>
      </c>
      <c r="C126">
        <v>2000</v>
      </c>
      <c r="D126">
        <v>-4000</v>
      </c>
      <c r="E126">
        <v>2000</v>
      </c>
      <c r="F126">
        <v>-4000</v>
      </c>
      <c r="G126">
        <v>-4000</v>
      </c>
      <c r="H126">
        <v>-4000</v>
      </c>
      <c r="I126">
        <v>-4000</v>
      </c>
    </row>
    <row r="127" spans="1:9" x14ac:dyDescent="0.3">
      <c r="A127" s="48" t="s">
        <v>44</v>
      </c>
      <c r="C127">
        <v>3000</v>
      </c>
      <c r="D127">
        <v>-5000</v>
      </c>
      <c r="E127">
        <v>1000</v>
      </c>
      <c r="F127">
        <v>-5000</v>
      </c>
      <c r="G127">
        <v>-5000</v>
      </c>
      <c r="H127">
        <v>-5000</v>
      </c>
      <c r="I127">
        <v>-5000</v>
      </c>
    </row>
    <row r="128" spans="1:9" x14ac:dyDescent="0.3">
      <c r="A128" s="48" t="s">
        <v>54</v>
      </c>
      <c r="C128">
        <v>4000</v>
      </c>
      <c r="D128">
        <v>-6000</v>
      </c>
      <c r="E128">
        <v>0</v>
      </c>
      <c r="F128">
        <v>-6000</v>
      </c>
      <c r="G128">
        <v>-6000</v>
      </c>
      <c r="H128">
        <v>-6000</v>
      </c>
      <c r="I128">
        <v>-6000</v>
      </c>
    </row>
    <row r="129" spans="1:9" x14ac:dyDescent="0.3">
      <c r="A129" s="48" t="s">
        <v>55</v>
      </c>
      <c r="C129">
        <v>5000</v>
      </c>
      <c r="D129">
        <v>-7000</v>
      </c>
      <c r="E129">
        <v>-1000</v>
      </c>
      <c r="F129">
        <v>-7000</v>
      </c>
      <c r="G129">
        <v>-7000</v>
      </c>
      <c r="H129">
        <v>-7000</v>
      </c>
      <c r="I129">
        <v>-7000</v>
      </c>
    </row>
    <row r="130" spans="1:9" x14ac:dyDescent="0.3">
      <c r="A130" s="48" t="s">
        <v>56</v>
      </c>
      <c r="C130">
        <v>6000</v>
      </c>
      <c r="D130">
        <v>-8000</v>
      </c>
      <c r="E130">
        <v>-2000</v>
      </c>
      <c r="F130">
        <v>-8000</v>
      </c>
      <c r="G130">
        <v>-8000</v>
      </c>
      <c r="H130">
        <v>-8000</v>
      </c>
      <c r="I130">
        <v>-8000</v>
      </c>
    </row>
    <row r="131" spans="1:9" x14ac:dyDescent="0.3">
      <c r="A131" s="48" t="s">
        <v>57</v>
      </c>
      <c r="C131">
        <v>7000</v>
      </c>
      <c r="D131">
        <v>-9000</v>
      </c>
      <c r="E131">
        <v>-3000</v>
      </c>
      <c r="F131">
        <v>-9000</v>
      </c>
      <c r="G131">
        <v>-9000</v>
      </c>
      <c r="H131">
        <v>-9000</v>
      </c>
      <c r="I131">
        <v>-9000</v>
      </c>
    </row>
    <row r="132" spans="1:9" x14ac:dyDescent="0.3">
      <c r="A132" s="48" t="s">
        <v>58</v>
      </c>
      <c r="C132">
        <v>8000</v>
      </c>
      <c r="D132">
        <v>-10000</v>
      </c>
      <c r="E132">
        <v>-4000</v>
      </c>
      <c r="F132">
        <v>-10000</v>
      </c>
      <c r="G132">
        <v>-10000</v>
      </c>
      <c r="H132">
        <v>-10000</v>
      </c>
      <c r="I132">
        <v>-10000</v>
      </c>
    </row>
    <row r="133" spans="1:9" x14ac:dyDescent="0.3">
      <c r="A133" s="15" t="s">
        <v>46</v>
      </c>
    </row>
    <row r="134" spans="1:9" x14ac:dyDescent="0.3">
      <c r="A134" s="49" t="s">
        <v>35</v>
      </c>
      <c r="C134">
        <v>-3000</v>
      </c>
      <c r="D134">
        <v>3000</v>
      </c>
      <c r="E134">
        <v>3000</v>
      </c>
      <c r="F134">
        <v>-3000</v>
      </c>
      <c r="G134">
        <v>-3000</v>
      </c>
      <c r="H134">
        <v>-3000</v>
      </c>
      <c r="I134">
        <v>-3000</v>
      </c>
    </row>
    <row r="135" spans="1:9" x14ac:dyDescent="0.3">
      <c r="A135" s="48" t="s">
        <v>41</v>
      </c>
      <c r="C135">
        <v>-2000</v>
      </c>
      <c r="D135">
        <v>2000</v>
      </c>
      <c r="E135">
        <v>2000</v>
      </c>
      <c r="F135">
        <v>-4000</v>
      </c>
      <c r="G135">
        <v>-4000</v>
      </c>
      <c r="H135">
        <v>-4000</v>
      </c>
      <c r="I135">
        <v>-4000</v>
      </c>
    </row>
    <row r="136" spans="1:9" x14ac:dyDescent="0.3">
      <c r="A136" s="48" t="s">
        <v>42</v>
      </c>
      <c r="C136">
        <v>-1000</v>
      </c>
      <c r="D136">
        <v>1000</v>
      </c>
      <c r="E136">
        <v>1000</v>
      </c>
      <c r="F136">
        <v>-5000</v>
      </c>
      <c r="G136">
        <v>-5000</v>
      </c>
      <c r="H136">
        <v>-5000</v>
      </c>
      <c r="I136">
        <v>-5000</v>
      </c>
    </row>
    <row r="137" spans="1:9" x14ac:dyDescent="0.3">
      <c r="A137" s="48" t="s">
        <v>43</v>
      </c>
      <c r="C137">
        <v>0</v>
      </c>
      <c r="D137">
        <v>0</v>
      </c>
      <c r="E137">
        <v>0</v>
      </c>
      <c r="F137">
        <v>-6000</v>
      </c>
      <c r="G137">
        <v>-6000</v>
      </c>
      <c r="H137">
        <v>-6000</v>
      </c>
      <c r="I137">
        <v>-6000</v>
      </c>
    </row>
    <row r="138" spans="1:9" x14ac:dyDescent="0.3">
      <c r="A138" s="48" t="s">
        <v>44</v>
      </c>
      <c r="C138">
        <v>1000</v>
      </c>
      <c r="D138">
        <v>-1000</v>
      </c>
      <c r="E138">
        <v>-1000</v>
      </c>
      <c r="F138">
        <v>-7000</v>
      </c>
      <c r="G138">
        <v>-7000</v>
      </c>
      <c r="H138">
        <v>-7000</v>
      </c>
      <c r="I138">
        <v>-7000</v>
      </c>
    </row>
    <row r="139" spans="1:9" x14ac:dyDescent="0.3">
      <c r="A139" s="48" t="s">
        <v>54</v>
      </c>
      <c r="C139">
        <v>2000</v>
      </c>
      <c r="D139">
        <v>-2000</v>
      </c>
      <c r="E139">
        <v>-2000</v>
      </c>
      <c r="F139">
        <v>-8000</v>
      </c>
      <c r="G139">
        <v>-8000</v>
      </c>
      <c r="H139">
        <v>-8000</v>
      </c>
      <c r="I139">
        <v>-8000</v>
      </c>
    </row>
    <row r="140" spans="1:9" x14ac:dyDescent="0.3">
      <c r="A140" s="48" t="s">
        <v>55</v>
      </c>
      <c r="C140">
        <v>3000</v>
      </c>
      <c r="D140">
        <v>-3000</v>
      </c>
      <c r="E140">
        <v>-3000</v>
      </c>
      <c r="F140">
        <v>-9000</v>
      </c>
      <c r="G140">
        <v>-9000</v>
      </c>
      <c r="H140">
        <v>-9000</v>
      </c>
      <c r="I140">
        <v>-9000</v>
      </c>
    </row>
    <row r="141" spans="1:9" x14ac:dyDescent="0.3">
      <c r="A141" s="48" t="s">
        <v>56</v>
      </c>
      <c r="C141">
        <v>4000</v>
      </c>
      <c r="D141">
        <v>-4000</v>
      </c>
      <c r="E141">
        <v>-4000</v>
      </c>
      <c r="F141">
        <v>-10000</v>
      </c>
      <c r="G141">
        <v>-10000</v>
      </c>
      <c r="H141">
        <v>-10000</v>
      </c>
      <c r="I141">
        <v>-10000</v>
      </c>
    </row>
    <row r="142" spans="1:9" x14ac:dyDescent="0.3">
      <c r="A142" s="48" t="s">
        <v>57</v>
      </c>
      <c r="C142">
        <v>5000</v>
      </c>
      <c r="D142">
        <v>-5000</v>
      </c>
      <c r="E142">
        <v>-5000</v>
      </c>
      <c r="F142">
        <v>-11000</v>
      </c>
      <c r="G142">
        <v>-11000</v>
      </c>
      <c r="H142">
        <v>-11000</v>
      </c>
      <c r="I142">
        <v>-11000</v>
      </c>
    </row>
    <row r="143" spans="1:9" x14ac:dyDescent="0.3">
      <c r="A143" s="48" t="s">
        <v>58</v>
      </c>
      <c r="C143">
        <v>6000</v>
      </c>
      <c r="D143">
        <v>-6000</v>
      </c>
      <c r="E143">
        <v>-6000</v>
      </c>
      <c r="F143">
        <v>-12000</v>
      </c>
      <c r="G143">
        <v>-12000</v>
      </c>
      <c r="H143">
        <v>-12000</v>
      </c>
      <c r="I143">
        <v>-12000</v>
      </c>
    </row>
    <row r="144" spans="1:9" x14ac:dyDescent="0.3">
      <c r="A144" s="15" t="s">
        <v>47</v>
      </c>
    </row>
    <row r="145" spans="1:9" x14ac:dyDescent="0.3">
      <c r="A145" s="49" t="s">
        <v>35</v>
      </c>
      <c r="C145">
        <v>-4000</v>
      </c>
      <c r="D145">
        <v>5000</v>
      </c>
      <c r="E145">
        <v>2000</v>
      </c>
      <c r="F145">
        <v>-4000</v>
      </c>
      <c r="G145">
        <v>-4000</v>
      </c>
      <c r="H145">
        <v>-4000</v>
      </c>
      <c r="I145">
        <v>-4000</v>
      </c>
    </row>
    <row r="146" spans="1:9" x14ac:dyDescent="0.3">
      <c r="A146" s="48" t="s">
        <v>41</v>
      </c>
      <c r="C146">
        <v>-3000</v>
      </c>
      <c r="D146">
        <v>4000</v>
      </c>
      <c r="E146">
        <v>1000</v>
      </c>
      <c r="F146">
        <v>-5000</v>
      </c>
      <c r="G146">
        <v>-5000</v>
      </c>
      <c r="H146">
        <v>-5000</v>
      </c>
      <c r="I146">
        <v>-5000</v>
      </c>
    </row>
    <row r="147" spans="1:9" x14ac:dyDescent="0.3">
      <c r="A147" s="48" t="s">
        <v>42</v>
      </c>
      <c r="C147">
        <v>-2000</v>
      </c>
      <c r="D147">
        <v>3000</v>
      </c>
      <c r="E147">
        <v>0</v>
      </c>
      <c r="F147">
        <v>-6000</v>
      </c>
      <c r="G147">
        <v>-6000</v>
      </c>
      <c r="H147">
        <v>-6000</v>
      </c>
      <c r="I147">
        <v>-6000</v>
      </c>
    </row>
    <row r="148" spans="1:9" x14ac:dyDescent="0.3">
      <c r="A148" s="48" t="s">
        <v>43</v>
      </c>
      <c r="C148">
        <v>-1000</v>
      </c>
      <c r="D148">
        <v>2000</v>
      </c>
      <c r="E148">
        <v>-1000</v>
      </c>
      <c r="F148">
        <v>-7000</v>
      </c>
      <c r="G148">
        <v>-7000</v>
      </c>
      <c r="H148">
        <v>-7000</v>
      </c>
      <c r="I148">
        <v>-7000</v>
      </c>
    </row>
    <row r="149" spans="1:9" x14ac:dyDescent="0.3">
      <c r="A149" s="48" t="s">
        <v>44</v>
      </c>
      <c r="C149">
        <v>0</v>
      </c>
      <c r="D149">
        <v>1000</v>
      </c>
      <c r="E149">
        <v>-2000</v>
      </c>
      <c r="F149">
        <v>-8000</v>
      </c>
      <c r="G149">
        <v>-8000</v>
      </c>
      <c r="H149">
        <v>-8000</v>
      </c>
      <c r="I149">
        <v>-8000</v>
      </c>
    </row>
    <row r="150" spans="1:9" x14ac:dyDescent="0.3">
      <c r="A150" s="48" t="s">
        <v>54</v>
      </c>
      <c r="C150">
        <v>1000</v>
      </c>
      <c r="D150">
        <v>0</v>
      </c>
      <c r="E150">
        <v>-3000</v>
      </c>
      <c r="F150">
        <v>-9000</v>
      </c>
      <c r="G150">
        <v>-9000</v>
      </c>
      <c r="H150">
        <v>-9000</v>
      </c>
      <c r="I150">
        <v>-9000</v>
      </c>
    </row>
    <row r="151" spans="1:9" x14ac:dyDescent="0.3">
      <c r="A151" s="48" t="s">
        <v>55</v>
      </c>
      <c r="C151">
        <v>2000</v>
      </c>
      <c r="D151">
        <v>-1000</v>
      </c>
      <c r="E151">
        <v>-4000</v>
      </c>
      <c r="F151">
        <v>-10000</v>
      </c>
      <c r="G151">
        <v>-10000</v>
      </c>
      <c r="H151">
        <v>-10000</v>
      </c>
      <c r="I151">
        <v>-10000</v>
      </c>
    </row>
    <row r="152" spans="1:9" x14ac:dyDescent="0.3">
      <c r="A152" s="48" t="s">
        <v>56</v>
      </c>
      <c r="C152">
        <v>3000</v>
      </c>
      <c r="D152">
        <v>-2000</v>
      </c>
      <c r="E152">
        <v>-5000</v>
      </c>
      <c r="F152">
        <v>-11000</v>
      </c>
      <c r="G152">
        <v>-11000</v>
      </c>
      <c r="H152">
        <v>-11000</v>
      </c>
      <c r="I152">
        <v>-11000</v>
      </c>
    </row>
    <row r="153" spans="1:9" x14ac:dyDescent="0.3">
      <c r="A153" s="48" t="s">
        <v>57</v>
      </c>
      <c r="C153">
        <v>4000</v>
      </c>
      <c r="D153">
        <v>-3000</v>
      </c>
      <c r="E153">
        <v>-6000</v>
      </c>
      <c r="F153">
        <v>-12000</v>
      </c>
      <c r="G153">
        <v>-12000</v>
      </c>
      <c r="H153">
        <v>-12000</v>
      </c>
      <c r="I153">
        <v>-12000</v>
      </c>
    </row>
    <row r="154" spans="1:9" x14ac:dyDescent="0.3">
      <c r="A154" s="48" t="s">
        <v>58</v>
      </c>
      <c r="C154">
        <v>5000</v>
      </c>
      <c r="D154">
        <v>-4000</v>
      </c>
      <c r="E154">
        <v>-7000</v>
      </c>
      <c r="F154">
        <v>-13000</v>
      </c>
      <c r="G154">
        <v>-13000</v>
      </c>
      <c r="H154">
        <v>-13000</v>
      </c>
      <c r="I154">
        <v>-13000</v>
      </c>
    </row>
    <row r="155" spans="1:9" x14ac:dyDescent="0.3">
      <c r="A155" s="15" t="s">
        <v>48</v>
      </c>
    </row>
    <row r="156" spans="1:9" x14ac:dyDescent="0.3">
      <c r="A156" s="49" t="s">
        <v>35</v>
      </c>
      <c r="C156">
        <v>-5000</v>
      </c>
      <c r="D156">
        <v>7000</v>
      </c>
      <c r="E156">
        <v>1000</v>
      </c>
      <c r="F156">
        <v>-5000</v>
      </c>
      <c r="G156">
        <v>-5000</v>
      </c>
      <c r="H156">
        <v>-5000</v>
      </c>
      <c r="I156">
        <v>-5000</v>
      </c>
    </row>
    <row r="157" spans="1:9" x14ac:dyDescent="0.3">
      <c r="A157" s="48" t="s">
        <v>41</v>
      </c>
      <c r="C157">
        <v>-4000</v>
      </c>
      <c r="D157">
        <v>6000</v>
      </c>
      <c r="E157">
        <v>0</v>
      </c>
      <c r="F157">
        <v>-6000</v>
      </c>
      <c r="G157">
        <v>-6000</v>
      </c>
      <c r="H157">
        <v>-6000</v>
      </c>
      <c r="I157">
        <v>-6000</v>
      </c>
    </row>
    <row r="158" spans="1:9" x14ac:dyDescent="0.3">
      <c r="A158" s="48" t="s">
        <v>42</v>
      </c>
      <c r="C158">
        <v>-3000</v>
      </c>
      <c r="D158">
        <v>5000</v>
      </c>
      <c r="E158">
        <v>-1000</v>
      </c>
      <c r="F158">
        <v>-7000</v>
      </c>
      <c r="G158">
        <v>-7000</v>
      </c>
      <c r="H158">
        <v>-7000</v>
      </c>
      <c r="I158">
        <v>-7000</v>
      </c>
    </row>
    <row r="159" spans="1:9" x14ac:dyDescent="0.3">
      <c r="A159" s="48" t="s">
        <v>43</v>
      </c>
      <c r="C159">
        <v>-2000</v>
      </c>
      <c r="D159">
        <v>4000</v>
      </c>
      <c r="E159">
        <v>-2000</v>
      </c>
      <c r="F159">
        <v>-8000</v>
      </c>
      <c r="G159">
        <v>-8000</v>
      </c>
      <c r="H159">
        <v>-8000</v>
      </c>
      <c r="I159">
        <v>-8000</v>
      </c>
    </row>
    <row r="160" spans="1:9" x14ac:dyDescent="0.3">
      <c r="A160" s="48" t="s">
        <v>44</v>
      </c>
      <c r="C160">
        <v>-1000</v>
      </c>
      <c r="D160">
        <v>3000</v>
      </c>
      <c r="E160">
        <v>-3000</v>
      </c>
      <c r="F160">
        <v>-9000</v>
      </c>
      <c r="G160">
        <v>-9000</v>
      </c>
      <c r="H160">
        <v>-9000</v>
      </c>
      <c r="I160">
        <v>-9000</v>
      </c>
    </row>
    <row r="161" spans="1:9" x14ac:dyDescent="0.3">
      <c r="A161" s="48" t="s">
        <v>54</v>
      </c>
      <c r="C161">
        <v>0</v>
      </c>
      <c r="D161">
        <v>2000</v>
      </c>
      <c r="E161">
        <v>-4000</v>
      </c>
      <c r="F161">
        <v>-10000</v>
      </c>
      <c r="G161">
        <v>-10000</v>
      </c>
      <c r="H161">
        <v>-10000</v>
      </c>
      <c r="I161">
        <v>-10000</v>
      </c>
    </row>
    <row r="162" spans="1:9" x14ac:dyDescent="0.3">
      <c r="A162" s="48" t="s">
        <v>55</v>
      </c>
      <c r="C162">
        <v>1000</v>
      </c>
      <c r="D162">
        <v>1000</v>
      </c>
      <c r="E162">
        <v>-5000</v>
      </c>
      <c r="F162">
        <v>-11000</v>
      </c>
      <c r="G162">
        <v>-11000</v>
      </c>
      <c r="H162">
        <v>-11000</v>
      </c>
      <c r="I162">
        <v>-11000</v>
      </c>
    </row>
    <row r="163" spans="1:9" x14ac:dyDescent="0.3">
      <c r="A163" s="48" t="s">
        <v>56</v>
      </c>
      <c r="C163">
        <v>2000</v>
      </c>
      <c r="D163">
        <v>0</v>
      </c>
      <c r="E163">
        <v>-6000</v>
      </c>
      <c r="F163">
        <v>-12000</v>
      </c>
      <c r="G163">
        <v>-12000</v>
      </c>
      <c r="H163">
        <v>-12000</v>
      </c>
      <c r="I163">
        <v>-12000</v>
      </c>
    </row>
    <row r="164" spans="1:9" x14ac:dyDescent="0.3">
      <c r="A164" s="48" t="s">
        <v>57</v>
      </c>
      <c r="C164">
        <v>3000</v>
      </c>
      <c r="D164">
        <v>-1000</v>
      </c>
      <c r="E164">
        <v>-7000</v>
      </c>
      <c r="F164">
        <v>-13000</v>
      </c>
      <c r="G164">
        <v>-13000</v>
      </c>
      <c r="H164">
        <v>-13000</v>
      </c>
      <c r="I164">
        <v>-13000</v>
      </c>
    </row>
    <row r="165" spans="1:9" x14ac:dyDescent="0.3">
      <c r="A165" s="48" t="s">
        <v>58</v>
      </c>
      <c r="C165">
        <v>4000</v>
      </c>
      <c r="D165">
        <v>-2000</v>
      </c>
      <c r="E165">
        <v>-8000</v>
      </c>
      <c r="F165">
        <v>-14000</v>
      </c>
      <c r="G165">
        <v>-14000</v>
      </c>
      <c r="H165">
        <v>-14000</v>
      </c>
      <c r="I165">
        <v>-14000</v>
      </c>
    </row>
    <row r="166" spans="1:9" x14ac:dyDescent="0.3">
      <c r="A166" s="15" t="s">
        <v>59</v>
      </c>
    </row>
    <row r="167" spans="1:9" x14ac:dyDescent="0.3">
      <c r="A167" s="48" t="s">
        <v>35</v>
      </c>
      <c r="C167">
        <v>-6000</v>
      </c>
      <c r="D167">
        <v>9000</v>
      </c>
      <c r="E167">
        <v>0</v>
      </c>
      <c r="F167">
        <v>-6000</v>
      </c>
      <c r="G167">
        <v>-6000</v>
      </c>
      <c r="H167">
        <v>-6000</v>
      </c>
      <c r="I167">
        <v>-6000</v>
      </c>
    </row>
    <row r="168" spans="1:9" x14ac:dyDescent="0.3">
      <c r="A168" s="48" t="s">
        <v>41</v>
      </c>
      <c r="C168">
        <v>-5000</v>
      </c>
      <c r="D168">
        <v>8000</v>
      </c>
      <c r="E168">
        <v>-1000</v>
      </c>
      <c r="F168">
        <v>-7000</v>
      </c>
      <c r="G168">
        <v>-7000</v>
      </c>
      <c r="H168">
        <v>-7000</v>
      </c>
      <c r="I168">
        <v>-7000</v>
      </c>
    </row>
    <row r="169" spans="1:9" x14ac:dyDescent="0.3">
      <c r="A169" s="48" t="s">
        <v>42</v>
      </c>
      <c r="C169">
        <v>-4000</v>
      </c>
      <c r="D169">
        <v>7000</v>
      </c>
      <c r="E169">
        <v>-2000</v>
      </c>
      <c r="F169">
        <v>-8000</v>
      </c>
      <c r="G169">
        <v>-8000</v>
      </c>
      <c r="H169">
        <v>-8000</v>
      </c>
      <c r="I169">
        <v>-8000</v>
      </c>
    </row>
    <row r="170" spans="1:9" x14ac:dyDescent="0.3">
      <c r="A170" s="48" t="s">
        <v>43</v>
      </c>
      <c r="C170">
        <v>-3000</v>
      </c>
      <c r="D170">
        <v>6000</v>
      </c>
      <c r="E170">
        <v>-3000</v>
      </c>
      <c r="F170">
        <v>-9000</v>
      </c>
      <c r="G170">
        <v>-9000</v>
      </c>
      <c r="H170">
        <v>-9000</v>
      </c>
      <c r="I170">
        <v>-9000</v>
      </c>
    </row>
    <row r="171" spans="1:9" x14ac:dyDescent="0.3">
      <c r="A171" s="48" t="s">
        <v>44</v>
      </c>
      <c r="C171">
        <v>-2000</v>
      </c>
      <c r="D171">
        <v>5000</v>
      </c>
      <c r="E171">
        <v>-4000</v>
      </c>
      <c r="F171">
        <v>-10000</v>
      </c>
      <c r="G171">
        <v>-10000</v>
      </c>
      <c r="H171">
        <v>-10000</v>
      </c>
      <c r="I171">
        <v>-10000</v>
      </c>
    </row>
    <row r="172" spans="1:9" x14ac:dyDescent="0.3">
      <c r="A172" s="48" t="s">
        <v>54</v>
      </c>
      <c r="C172">
        <v>-1000</v>
      </c>
      <c r="D172">
        <v>4000</v>
      </c>
      <c r="E172">
        <v>-5000</v>
      </c>
      <c r="F172">
        <v>-11000</v>
      </c>
      <c r="G172">
        <v>-11000</v>
      </c>
      <c r="H172">
        <v>-11000</v>
      </c>
      <c r="I172">
        <v>-11000</v>
      </c>
    </row>
    <row r="173" spans="1:9" x14ac:dyDescent="0.3">
      <c r="A173" s="48" t="s">
        <v>55</v>
      </c>
      <c r="C173">
        <v>0</v>
      </c>
      <c r="D173">
        <v>3000</v>
      </c>
      <c r="E173">
        <v>-6000</v>
      </c>
      <c r="F173">
        <v>-12000</v>
      </c>
      <c r="G173">
        <v>-12000</v>
      </c>
      <c r="H173">
        <v>-12000</v>
      </c>
      <c r="I173">
        <v>-12000</v>
      </c>
    </row>
    <row r="174" spans="1:9" x14ac:dyDescent="0.3">
      <c r="A174" s="48" t="s">
        <v>56</v>
      </c>
      <c r="C174">
        <v>1000</v>
      </c>
      <c r="D174">
        <v>2000</v>
      </c>
      <c r="E174">
        <v>-7000</v>
      </c>
      <c r="F174">
        <v>-13000</v>
      </c>
      <c r="G174">
        <v>-13000</v>
      </c>
      <c r="H174">
        <v>-13000</v>
      </c>
      <c r="I174">
        <v>-13000</v>
      </c>
    </row>
    <row r="175" spans="1:9" x14ac:dyDescent="0.3">
      <c r="A175" s="48" t="s">
        <v>57</v>
      </c>
      <c r="C175">
        <v>2000</v>
      </c>
      <c r="D175">
        <v>1000</v>
      </c>
      <c r="E175">
        <v>-8000</v>
      </c>
      <c r="F175">
        <v>-14000</v>
      </c>
      <c r="G175">
        <v>-14000</v>
      </c>
      <c r="H175">
        <v>-14000</v>
      </c>
      <c r="I175">
        <v>-14000</v>
      </c>
    </row>
    <row r="176" spans="1:9" x14ac:dyDescent="0.3">
      <c r="A176" s="48" t="s">
        <v>58</v>
      </c>
      <c r="C176">
        <v>3000</v>
      </c>
      <c r="D176">
        <v>0</v>
      </c>
      <c r="E176">
        <v>-9000</v>
      </c>
      <c r="F176">
        <v>-15000</v>
      </c>
      <c r="G176">
        <v>-15000</v>
      </c>
      <c r="H176">
        <v>-15000</v>
      </c>
      <c r="I176">
        <v>-15000</v>
      </c>
    </row>
    <row r="177" spans="1:9" x14ac:dyDescent="0.3">
      <c r="A177" s="15" t="s">
        <v>60</v>
      </c>
    </row>
    <row r="178" spans="1:9" x14ac:dyDescent="0.3">
      <c r="A178" s="48" t="s">
        <v>35</v>
      </c>
      <c r="C178">
        <v>-7000</v>
      </c>
      <c r="D178">
        <v>11000</v>
      </c>
      <c r="E178">
        <v>-1000</v>
      </c>
      <c r="F178">
        <v>-7000</v>
      </c>
      <c r="G178">
        <v>-7000</v>
      </c>
      <c r="H178">
        <v>-7000</v>
      </c>
      <c r="I178">
        <v>-7000</v>
      </c>
    </row>
    <row r="179" spans="1:9" x14ac:dyDescent="0.3">
      <c r="A179" s="48" t="s">
        <v>41</v>
      </c>
      <c r="C179">
        <v>-6000</v>
      </c>
      <c r="D179">
        <v>10000</v>
      </c>
      <c r="E179">
        <v>-2000</v>
      </c>
      <c r="F179">
        <v>-8000</v>
      </c>
      <c r="G179">
        <v>-8000</v>
      </c>
      <c r="H179">
        <v>-8000</v>
      </c>
      <c r="I179">
        <v>-8000</v>
      </c>
    </row>
    <row r="180" spans="1:9" x14ac:dyDescent="0.3">
      <c r="A180" s="48" t="s">
        <v>42</v>
      </c>
      <c r="C180">
        <v>-5000</v>
      </c>
      <c r="D180">
        <v>9000</v>
      </c>
      <c r="E180">
        <v>-3000</v>
      </c>
      <c r="F180">
        <v>-9000</v>
      </c>
      <c r="G180">
        <v>-9000</v>
      </c>
      <c r="H180">
        <v>-9000</v>
      </c>
      <c r="I180">
        <v>-9000</v>
      </c>
    </row>
    <row r="181" spans="1:9" x14ac:dyDescent="0.3">
      <c r="A181" s="48" t="s">
        <v>43</v>
      </c>
      <c r="C181">
        <v>-4000</v>
      </c>
      <c r="D181">
        <v>8000</v>
      </c>
      <c r="E181">
        <v>-4000</v>
      </c>
      <c r="F181">
        <v>-10000</v>
      </c>
      <c r="G181">
        <v>-10000</v>
      </c>
      <c r="H181">
        <v>-10000</v>
      </c>
      <c r="I181">
        <v>-10000</v>
      </c>
    </row>
    <row r="182" spans="1:9" x14ac:dyDescent="0.3">
      <c r="A182" s="48" t="s">
        <v>44</v>
      </c>
      <c r="C182">
        <v>-3000</v>
      </c>
      <c r="D182">
        <v>7000</v>
      </c>
      <c r="E182">
        <v>-5000</v>
      </c>
      <c r="F182">
        <v>-11000</v>
      </c>
      <c r="G182">
        <v>-11000</v>
      </c>
      <c r="H182">
        <v>-11000</v>
      </c>
      <c r="I182">
        <v>-11000</v>
      </c>
    </row>
    <row r="183" spans="1:9" x14ac:dyDescent="0.3">
      <c r="A183" s="48" t="s">
        <v>54</v>
      </c>
      <c r="C183">
        <v>-2000</v>
      </c>
      <c r="D183">
        <v>6000</v>
      </c>
      <c r="E183">
        <v>-6000</v>
      </c>
      <c r="F183">
        <v>-12000</v>
      </c>
      <c r="G183">
        <v>-12000</v>
      </c>
      <c r="H183">
        <v>-12000</v>
      </c>
      <c r="I183">
        <v>-12000</v>
      </c>
    </row>
    <row r="184" spans="1:9" x14ac:dyDescent="0.3">
      <c r="A184" s="48" t="s">
        <v>55</v>
      </c>
      <c r="C184">
        <v>-1000</v>
      </c>
      <c r="D184">
        <v>5000</v>
      </c>
      <c r="E184">
        <v>-7000</v>
      </c>
      <c r="F184">
        <v>-13000</v>
      </c>
      <c r="G184">
        <v>-13000</v>
      </c>
      <c r="H184">
        <v>-13000</v>
      </c>
      <c r="I184">
        <v>-13000</v>
      </c>
    </row>
    <row r="185" spans="1:9" x14ac:dyDescent="0.3">
      <c r="A185" s="48" t="s">
        <v>56</v>
      </c>
      <c r="C185">
        <v>0</v>
      </c>
      <c r="D185">
        <v>4000</v>
      </c>
      <c r="E185">
        <v>-8000</v>
      </c>
      <c r="F185">
        <v>-14000</v>
      </c>
      <c r="G185">
        <v>-14000</v>
      </c>
      <c r="H185">
        <v>-14000</v>
      </c>
      <c r="I185">
        <v>-14000</v>
      </c>
    </row>
    <row r="186" spans="1:9" x14ac:dyDescent="0.3">
      <c r="A186" s="48" t="s">
        <v>57</v>
      </c>
      <c r="C186">
        <v>1000</v>
      </c>
      <c r="D186">
        <v>3000</v>
      </c>
      <c r="E186">
        <v>-9000</v>
      </c>
      <c r="F186">
        <v>-15000</v>
      </c>
      <c r="G186">
        <v>-15000</v>
      </c>
      <c r="H186">
        <v>-15000</v>
      </c>
      <c r="I186">
        <v>-15000</v>
      </c>
    </row>
    <row r="187" spans="1:9" x14ac:dyDescent="0.3">
      <c r="A187" s="48" t="s">
        <v>58</v>
      </c>
      <c r="C187">
        <v>2000</v>
      </c>
      <c r="D187">
        <v>2000</v>
      </c>
      <c r="E187">
        <v>-10000</v>
      </c>
      <c r="F187">
        <v>-16000</v>
      </c>
      <c r="G187">
        <v>-16000</v>
      </c>
      <c r="H187">
        <v>-16000</v>
      </c>
      <c r="I187">
        <v>-16000</v>
      </c>
    </row>
    <row r="188" spans="1:9" x14ac:dyDescent="0.3">
      <c r="A188" s="15" t="s">
        <v>61</v>
      </c>
    </row>
    <row r="189" spans="1:9" x14ac:dyDescent="0.3">
      <c r="A189" s="48" t="s">
        <v>35</v>
      </c>
      <c r="C189">
        <v>-8000</v>
      </c>
      <c r="D189">
        <v>13000</v>
      </c>
      <c r="E189">
        <v>-2000</v>
      </c>
      <c r="F189">
        <v>-8000</v>
      </c>
      <c r="G189">
        <v>-8000</v>
      </c>
      <c r="H189">
        <v>-8000</v>
      </c>
      <c r="I189">
        <v>-8000</v>
      </c>
    </row>
    <row r="190" spans="1:9" x14ac:dyDescent="0.3">
      <c r="A190" s="48" t="s">
        <v>41</v>
      </c>
      <c r="C190">
        <v>-7000</v>
      </c>
      <c r="D190">
        <v>12000</v>
      </c>
      <c r="E190">
        <v>-3000</v>
      </c>
      <c r="F190">
        <v>-9000</v>
      </c>
      <c r="G190">
        <v>-9000</v>
      </c>
      <c r="H190">
        <v>-9000</v>
      </c>
      <c r="I190">
        <v>-9000</v>
      </c>
    </row>
    <row r="191" spans="1:9" x14ac:dyDescent="0.3">
      <c r="A191" s="48" t="s">
        <v>42</v>
      </c>
      <c r="C191">
        <v>-6000</v>
      </c>
      <c r="D191">
        <v>11000</v>
      </c>
      <c r="E191">
        <v>-4000</v>
      </c>
      <c r="F191">
        <v>-10000</v>
      </c>
      <c r="G191">
        <v>-10000</v>
      </c>
      <c r="H191">
        <v>-10000</v>
      </c>
      <c r="I191">
        <v>-10000</v>
      </c>
    </row>
    <row r="192" spans="1:9" x14ac:dyDescent="0.3">
      <c r="A192" s="48" t="s">
        <v>43</v>
      </c>
      <c r="C192">
        <v>-5000</v>
      </c>
      <c r="D192">
        <v>10000</v>
      </c>
      <c r="E192">
        <v>-5000</v>
      </c>
      <c r="F192">
        <v>-11000</v>
      </c>
      <c r="G192">
        <v>-11000</v>
      </c>
      <c r="H192">
        <v>-11000</v>
      </c>
      <c r="I192">
        <v>-11000</v>
      </c>
    </row>
    <row r="193" spans="1:9" x14ac:dyDescent="0.3">
      <c r="A193" s="48" t="s">
        <v>44</v>
      </c>
      <c r="C193">
        <v>-4000</v>
      </c>
      <c r="D193">
        <v>9000</v>
      </c>
      <c r="E193">
        <v>-6000</v>
      </c>
      <c r="F193">
        <v>-12000</v>
      </c>
      <c r="G193">
        <v>-12000</v>
      </c>
      <c r="H193">
        <v>-12000</v>
      </c>
      <c r="I193">
        <v>-12000</v>
      </c>
    </row>
    <row r="194" spans="1:9" x14ac:dyDescent="0.3">
      <c r="A194" s="48" t="s">
        <v>54</v>
      </c>
      <c r="C194">
        <v>-3000</v>
      </c>
      <c r="D194">
        <v>8000</v>
      </c>
      <c r="E194">
        <v>-7000</v>
      </c>
      <c r="F194">
        <v>-13000</v>
      </c>
      <c r="G194">
        <v>-13000</v>
      </c>
      <c r="H194">
        <v>-13000</v>
      </c>
      <c r="I194">
        <v>-13000</v>
      </c>
    </row>
    <row r="195" spans="1:9" x14ac:dyDescent="0.3">
      <c r="A195" s="48" t="s">
        <v>55</v>
      </c>
      <c r="C195">
        <v>-2000</v>
      </c>
      <c r="D195">
        <v>7000</v>
      </c>
      <c r="E195">
        <v>-8000</v>
      </c>
      <c r="F195">
        <v>-14000</v>
      </c>
      <c r="G195">
        <v>-14000</v>
      </c>
      <c r="H195">
        <v>-14000</v>
      </c>
      <c r="I195">
        <v>-14000</v>
      </c>
    </row>
    <row r="196" spans="1:9" x14ac:dyDescent="0.3">
      <c r="A196" s="48" t="s">
        <v>56</v>
      </c>
      <c r="C196">
        <v>-1000</v>
      </c>
      <c r="D196">
        <v>6000</v>
      </c>
      <c r="E196">
        <v>-9000</v>
      </c>
      <c r="F196">
        <v>-15000</v>
      </c>
      <c r="G196">
        <v>-15000</v>
      </c>
      <c r="H196">
        <v>-15000</v>
      </c>
      <c r="I196">
        <v>-15000</v>
      </c>
    </row>
    <row r="197" spans="1:9" x14ac:dyDescent="0.3">
      <c r="A197" s="48" t="s">
        <v>57</v>
      </c>
      <c r="C197">
        <v>0</v>
      </c>
      <c r="D197">
        <v>5000</v>
      </c>
      <c r="E197">
        <v>-10000</v>
      </c>
      <c r="F197">
        <v>-16000</v>
      </c>
      <c r="G197">
        <v>-16000</v>
      </c>
      <c r="H197">
        <v>-16000</v>
      </c>
      <c r="I197">
        <v>-16000</v>
      </c>
    </row>
    <row r="198" spans="1:9" x14ac:dyDescent="0.3">
      <c r="A198" s="48" t="s">
        <v>58</v>
      </c>
      <c r="C198">
        <v>1000</v>
      </c>
      <c r="D198">
        <v>4000</v>
      </c>
      <c r="E198">
        <v>-11000</v>
      </c>
      <c r="F198">
        <v>-17000</v>
      </c>
      <c r="G198">
        <v>-17000</v>
      </c>
      <c r="H198">
        <v>-17000</v>
      </c>
      <c r="I198">
        <v>-17000</v>
      </c>
    </row>
    <row r="199" spans="1:9" x14ac:dyDescent="0.3">
      <c r="A199" s="15" t="s">
        <v>62</v>
      </c>
    </row>
    <row r="200" spans="1:9" x14ac:dyDescent="0.3">
      <c r="A200" s="48" t="s">
        <v>35</v>
      </c>
      <c r="C200">
        <v>-9000</v>
      </c>
      <c r="D200">
        <v>15000</v>
      </c>
      <c r="E200">
        <v>-3000</v>
      </c>
      <c r="F200">
        <v>-9000</v>
      </c>
      <c r="G200">
        <v>-9000</v>
      </c>
      <c r="H200">
        <v>-9000</v>
      </c>
      <c r="I200">
        <v>-9000</v>
      </c>
    </row>
    <row r="201" spans="1:9" x14ac:dyDescent="0.3">
      <c r="A201" s="48" t="s">
        <v>41</v>
      </c>
      <c r="C201">
        <v>-8000</v>
      </c>
      <c r="D201">
        <v>14000</v>
      </c>
      <c r="E201">
        <v>-4000</v>
      </c>
      <c r="F201">
        <v>-10000</v>
      </c>
      <c r="G201">
        <v>-10000</v>
      </c>
      <c r="H201">
        <v>-10000</v>
      </c>
      <c r="I201">
        <v>-10000</v>
      </c>
    </row>
    <row r="202" spans="1:9" x14ac:dyDescent="0.3">
      <c r="A202" s="48" t="s">
        <v>42</v>
      </c>
      <c r="C202">
        <v>-7000</v>
      </c>
      <c r="D202">
        <v>13000</v>
      </c>
      <c r="E202">
        <v>-5000</v>
      </c>
      <c r="F202">
        <v>-11000</v>
      </c>
      <c r="G202">
        <v>-11000</v>
      </c>
      <c r="H202">
        <v>-11000</v>
      </c>
      <c r="I202">
        <v>-11000</v>
      </c>
    </row>
    <row r="203" spans="1:9" x14ac:dyDescent="0.3">
      <c r="A203" s="48" t="s">
        <v>43</v>
      </c>
      <c r="C203">
        <v>-6000</v>
      </c>
      <c r="D203">
        <v>12000</v>
      </c>
      <c r="E203">
        <v>-6000</v>
      </c>
      <c r="F203">
        <v>-12000</v>
      </c>
      <c r="G203">
        <v>-12000</v>
      </c>
      <c r="H203">
        <v>-12000</v>
      </c>
      <c r="I203">
        <v>-12000</v>
      </c>
    </row>
    <row r="204" spans="1:9" x14ac:dyDescent="0.3">
      <c r="A204" s="48" t="s">
        <v>44</v>
      </c>
      <c r="C204">
        <v>-5000</v>
      </c>
      <c r="D204">
        <v>11000</v>
      </c>
      <c r="E204">
        <v>-7000</v>
      </c>
      <c r="F204">
        <v>-13000</v>
      </c>
      <c r="G204">
        <v>-13000</v>
      </c>
      <c r="H204">
        <v>-13000</v>
      </c>
      <c r="I204">
        <v>-13000</v>
      </c>
    </row>
    <row r="205" spans="1:9" x14ac:dyDescent="0.3">
      <c r="A205" s="48" t="s">
        <v>54</v>
      </c>
      <c r="C205">
        <v>-4000</v>
      </c>
      <c r="D205">
        <v>10000</v>
      </c>
      <c r="E205">
        <v>-8000</v>
      </c>
      <c r="F205">
        <v>-14000</v>
      </c>
      <c r="G205">
        <v>-14000</v>
      </c>
      <c r="H205">
        <v>-14000</v>
      </c>
      <c r="I205">
        <v>-14000</v>
      </c>
    </row>
    <row r="206" spans="1:9" x14ac:dyDescent="0.3">
      <c r="A206" s="48" t="s">
        <v>55</v>
      </c>
      <c r="C206">
        <v>-3000</v>
      </c>
      <c r="D206">
        <v>9000</v>
      </c>
      <c r="E206">
        <v>-9000</v>
      </c>
      <c r="F206">
        <v>-15000</v>
      </c>
      <c r="G206">
        <v>-15000</v>
      </c>
      <c r="H206">
        <v>-15000</v>
      </c>
      <c r="I206">
        <v>-15000</v>
      </c>
    </row>
    <row r="207" spans="1:9" x14ac:dyDescent="0.3">
      <c r="A207" s="48" t="s">
        <v>56</v>
      </c>
      <c r="C207">
        <v>-2000</v>
      </c>
      <c r="D207">
        <v>8000</v>
      </c>
      <c r="E207">
        <v>-10000</v>
      </c>
      <c r="F207">
        <v>-16000</v>
      </c>
      <c r="G207">
        <v>-16000</v>
      </c>
      <c r="H207">
        <v>-16000</v>
      </c>
      <c r="I207">
        <v>-16000</v>
      </c>
    </row>
    <row r="208" spans="1:9" x14ac:dyDescent="0.3">
      <c r="A208" s="48" t="s">
        <v>57</v>
      </c>
      <c r="C208">
        <v>-1000</v>
      </c>
      <c r="D208">
        <v>7000</v>
      </c>
      <c r="E208">
        <v>-11000</v>
      </c>
      <c r="F208">
        <v>-17000</v>
      </c>
      <c r="G208">
        <v>-17000</v>
      </c>
      <c r="H208">
        <v>-17000</v>
      </c>
      <c r="I208">
        <v>-17000</v>
      </c>
    </row>
    <row r="209" spans="1:9" x14ac:dyDescent="0.3">
      <c r="A209" s="48" t="s">
        <v>58</v>
      </c>
      <c r="C209">
        <v>0</v>
      </c>
      <c r="D209">
        <v>6000</v>
      </c>
      <c r="E209">
        <v>-12000</v>
      </c>
      <c r="F209">
        <v>-18000</v>
      </c>
      <c r="G209">
        <v>-18000</v>
      </c>
      <c r="H209">
        <v>-18000</v>
      </c>
      <c r="I209">
        <v>-18000</v>
      </c>
    </row>
    <row r="210" spans="1:9" x14ac:dyDescent="0.3">
      <c r="A210" s="15" t="s">
        <v>63</v>
      </c>
    </row>
    <row r="211" spans="1:9" x14ac:dyDescent="0.3">
      <c r="A211" s="48" t="s">
        <v>35</v>
      </c>
      <c r="C211">
        <v>-10000</v>
      </c>
      <c r="D211">
        <v>17000</v>
      </c>
      <c r="E211">
        <v>-4000</v>
      </c>
      <c r="F211">
        <v>-10000</v>
      </c>
      <c r="G211">
        <v>-10000</v>
      </c>
      <c r="H211">
        <v>-10000</v>
      </c>
      <c r="I211">
        <v>-10000</v>
      </c>
    </row>
    <row r="212" spans="1:9" x14ac:dyDescent="0.3">
      <c r="A212" s="48" t="s">
        <v>41</v>
      </c>
      <c r="C212">
        <v>-9000</v>
      </c>
      <c r="D212">
        <v>16000</v>
      </c>
      <c r="E212">
        <v>-5000</v>
      </c>
      <c r="F212">
        <v>-11000</v>
      </c>
      <c r="G212">
        <v>-11000</v>
      </c>
      <c r="H212">
        <v>-11000</v>
      </c>
      <c r="I212">
        <v>-11000</v>
      </c>
    </row>
    <row r="213" spans="1:9" x14ac:dyDescent="0.3">
      <c r="A213" s="48" t="s">
        <v>42</v>
      </c>
      <c r="C213">
        <v>-8000</v>
      </c>
      <c r="D213">
        <v>15000</v>
      </c>
      <c r="E213">
        <v>-6000</v>
      </c>
      <c r="F213">
        <v>-12000</v>
      </c>
      <c r="G213">
        <v>-12000</v>
      </c>
      <c r="H213">
        <v>-12000</v>
      </c>
      <c r="I213">
        <v>-12000</v>
      </c>
    </row>
    <row r="214" spans="1:9" x14ac:dyDescent="0.3">
      <c r="A214" s="48" t="s">
        <v>43</v>
      </c>
      <c r="C214">
        <v>-7000</v>
      </c>
      <c r="D214">
        <v>14000</v>
      </c>
      <c r="E214">
        <v>-7000</v>
      </c>
      <c r="F214">
        <v>-13000</v>
      </c>
      <c r="G214">
        <v>-13000</v>
      </c>
      <c r="H214">
        <v>-13000</v>
      </c>
      <c r="I214">
        <v>-13000</v>
      </c>
    </row>
    <row r="215" spans="1:9" x14ac:dyDescent="0.3">
      <c r="A215" s="48" t="s">
        <v>44</v>
      </c>
      <c r="C215">
        <v>-6000</v>
      </c>
      <c r="D215">
        <v>13000</v>
      </c>
      <c r="E215">
        <v>-8000</v>
      </c>
      <c r="F215">
        <v>-14000</v>
      </c>
      <c r="G215">
        <v>-14000</v>
      </c>
      <c r="H215">
        <v>-14000</v>
      </c>
      <c r="I215">
        <v>-14000</v>
      </c>
    </row>
    <row r="216" spans="1:9" x14ac:dyDescent="0.3">
      <c r="A216" s="48" t="s">
        <v>54</v>
      </c>
      <c r="C216">
        <v>-5000</v>
      </c>
      <c r="D216">
        <v>12000</v>
      </c>
      <c r="E216">
        <v>-9000</v>
      </c>
      <c r="F216">
        <v>-15000</v>
      </c>
      <c r="G216">
        <v>-15000</v>
      </c>
      <c r="H216">
        <v>-15000</v>
      </c>
      <c r="I216">
        <v>-15000</v>
      </c>
    </row>
    <row r="217" spans="1:9" x14ac:dyDescent="0.3">
      <c r="A217" s="48" t="s">
        <v>55</v>
      </c>
      <c r="C217">
        <v>-4000</v>
      </c>
      <c r="D217">
        <v>11000</v>
      </c>
      <c r="E217">
        <v>-10000</v>
      </c>
      <c r="F217">
        <v>-16000</v>
      </c>
      <c r="G217">
        <v>-16000</v>
      </c>
      <c r="H217">
        <v>-16000</v>
      </c>
      <c r="I217">
        <v>-16000</v>
      </c>
    </row>
    <row r="218" spans="1:9" x14ac:dyDescent="0.3">
      <c r="A218" s="48" t="s">
        <v>56</v>
      </c>
      <c r="C218">
        <v>-3000</v>
      </c>
      <c r="D218">
        <v>10000</v>
      </c>
      <c r="E218">
        <v>-11000</v>
      </c>
      <c r="F218">
        <v>-17000</v>
      </c>
      <c r="G218">
        <v>-17000</v>
      </c>
      <c r="H218">
        <v>-17000</v>
      </c>
      <c r="I218">
        <v>-17000</v>
      </c>
    </row>
    <row r="219" spans="1:9" x14ac:dyDescent="0.3">
      <c r="A219" s="48" t="s">
        <v>57</v>
      </c>
      <c r="C219">
        <v>-2000</v>
      </c>
      <c r="D219">
        <v>9000</v>
      </c>
      <c r="E219">
        <v>-12000</v>
      </c>
      <c r="F219">
        <v>-18000</v>
      </c>
      <c r="G219">
        <v>-18000</v>
      </c>
      <c r="H219">
        <v>-18000</v>
      </c>
      <c r="I219">
        <v>-18000</v>
      </c>
    </row>
    <row r="220" spans="1:9" x14ac:dyDescent="0.3">
      <c r="A220" s="48" t="s">
        <v>58</v>
      </c>
      <c r="C220">
        <v>-1000</v>
      </c>
      <c r="D220">
        <v>8000</v>
      </c>
      <c r="E220">
        <v>-13000</v>
      </c>
      <c r="F220">
        <v>-19000</v>
      </c>
      <c r="G220">
        <v>-19000</v>
      </c>
      <c r="H220">
        <v>-19000</v>
      </c>
      <c r="I220">
        <v>-19000</v>
      </c>
    </row>
    <row r="221" spans="1:9" x14ac:dyDescent="0.3">
      <c r="A221" s="15" t="s">
        <v>50</v>
      </c>
      <c r="B221">
        <v>-3000</v>
      </c>
      <c r="C221">
        <v>25000</v>
      </c>
      <c r="D221">
        <v>-35000</v>
      </c>
      <c r="E221">
        <v>-5000</v>
      </c>
      <c r="F221">
        <v>-65000</v>
      </c>
      <c r="G221">
        <v>-65000</v>
      </c>
      <c r="H221">
        <v>-65000</v>
      </c>
      <c r="I221">
        <v>-62000</v>
      </c>
    </row>
    <row r="222" spans="1:9" x14ac:dyDescent="0.3">
      <c r="A222" s="14" t="s">
        <v>50</v>
      </c>
    </row>
    <row r="223" spans="1:9" x14ac:dyDescent="0.3">
      <c r="A223" s="15" t="s">
        <v>34</v>
      </c>
    </row>
    <row r="224" spans="1:9" x14ac:dyDescent="0.3">
      <c r="A224" s="48" t="s">
        <v>35</v>
      </c>
      <c r="C224">
        <v>-2000</v>
      </c>
      <c r="D224">
        <v>-2000</v>
      </c>
      <c r="E224">
        <v>10000</v>
      </c>
      <c r="F224">
        <v>-2000</v>
      </c>
      <c r="G224">
        <v>-2000</v>
      </c>
      <c r="H224">
        <v>-2000</v>
      </c>
      <c r="I224">
        <v>-2000</v>
      </c>
    </row>
    <row r="225" spans="1:9" x14ac:dyDescent="0.3">
      <c r="A225" s="48" t="s">
        <v>41</v>
      </c>
      <c r="C225">
        <v>-1000</v>
      </c>
      <c r="D225">
        <v>-3000</v>
      </c>
      <c r="E225">
        <v>9000</v>
      </c>
      <c r="F225">
        <v>-3000</v>
      </c>
      <c r="G225">
        <v>-3000</v>
      </c>
      <c r="H225">
        <v>-3000</v>
      </c>
      <c r="I225">
        <v>-3000</v>
      </c>
    </row>
    <row r="226" spans="1:9" x14ac:dyDescent="0.3">
      <c r="A226" s="48" t="s">
        <v>42</v>
      </c>
      <c r="C226">
        <v>0</v>
      </c>
      <c r="D226">
        <v>-4000</v>
      </c>
      <c r="E226">
        <v>8000</v>
      </c>
      <c r="F226">
        <v>-4000</v>
      </c>
      <c r="G226">
        <v>-4000</v>
      </c>
      <c r="H226">
        <v>-4000</v>
      </c>
      <c r="I226">
        <v>-4000</v>
      </c>
    </row>
    <row r="227" spans="1:9" x14ac:dyDescent="0.3">
      <c r="A227" s="48" t="s">
        <v>43</v>
      </c>
      <c r="C227">
        <v>1000</v>
      </c>
      <c r="D227">
        <v>-5000</v>
      </c>
      <c r="E227">
        <v>7000</v>
      </c>
      <c r="F227">
        <v>-5000</v>
      </c>
      <c r="G227">
        <v>-5000</v>
      </c>
      <c r="H227">
        <v>-5000</v>
      </c>
      <c r="I227">
        <v>-5000</v>
      </c>
    </row>
    <row r="228" spans="1:9" x14ac:dyDescent="0.3">
      <c r="A228" s="48" t="s">
        <v>44</v>
      </c>
      <c r="C228">
        <v>2000</v>
      </c>
      <c r="D228">
        <v>-6000</v>
      </c>
      <c r="E228">
        <v>6000</v>
      </c>
      <c r="F228">
        <v>-6000</v>
      </c>
      <c r="G228">
        <v>-6000</v>
      </c>
      <c r="H228">
        <v>-6000</v>
      </c>
      <c r="I228">
        <v>-6000</v>
      </c>
    </row>
    <row r="229" spans="1:9" x14ac:dyDescent="0.3">
      <c r="A229" s="48" t="s">
        <v>54</v>
      </c>
      <c r="C229">
        <v>3000</v>
      </c>
      <c r="D229">
        <v>-7000</v>
      </c>
      <c r="E229">
        <v>5000</v>
      </c>
      <c r="F229">
        <v>-7000</v>
      </c>
      <c r="G229">
        <v>-7000</v>
      </c>
      <c r="H229">
        <v>-7000</v>
      </c>
      <c r="I229">
        <v>-7000</v>
      </c>
    </row>
    <row r="230" spans="1:9" x14ac:dyDescent="0.3">
      <c r="A230" s="48" t="s">
        <v>55</v>
      </c>
      <c r="C230">
        <v>4000</v>
      </c>
      <c r="D230">
        <v>-8000</v>
      </c>
      <c r="E230">
        <v>4000</v>
      </c>
      <c r="F230">
        <v>-8000</v>
      </c>
      <c r="G230">
        <v>-8000</v>
      </c>
      <c r="H230">
        <v>-8000</v>
      </c>
      <c r="I230">
        <v>-8000</v>
      </c>
    </row>
    <row r="231" spans="1:9" x14ac:dyDescent="0.3">
      <c r="A231" s="48" t="s">
        <v>56</v>
      </c>
      <c r="C231">
        <v>5000</v>
      </c>
      <c r="D231">
        <v>-9000</v>
      </c>
      <c r="E231">
        <v>3000</v>
      </c>
      <c r="F231">
        <v>-9000</v>
      </c>
      <c r="G231">
        <v>-9000</v>
      </c>
      <c r="H231">
        <v>-9000</v>
      </c>
      <c r="I231">
        <v>-9000</v>
      </c>
    </row>
    <row r="232" spans="1:9" x14ac:dyDescent="0.3">
      <c r="A232" s="48" t="s">
        <v>57</v>
      </c>
      <c r="C232">
        <v>6000</v>
      </c>
      <c r="D232">
        <v>-10000</v>
      </c>
      <c r="E232">
        <v>2000</v>
      </c>
      <c r="F232">
        <v>-10000</v>
      </c>
      <c r="G232">
        <v>-10000</v>
      </c>
      <c r="H232">
        <v>-10000</v>
      </c>
      <c r="I232">
        <v>-10000</v>
      </c>
    </row>
    <row r="233" spans="1:9" x14ac:dyDescent="0.3">
      <c r="A233" s="48" t="s">
        <v>58</v>
      </c>
      <c r="C233">
        <v>7000</v>
      </c>
      <c r="D233">
        <v>-11000</v>
      </c>
      <c r="E233">
        <v>1000</v>
      </c>
      <c r="F233">
        <v>-11000</v>
      </c>
      <c r="G233">
        <v>-11000</v>
      </c>
      <c r="H233">
        <v>-11000</v>
      </c>
      <c r="I233">
        <v>-11000</v>
      </c>
    </row>
    <row r="234" spans="1:9" x14ac:dyDescent="0.3">
      <c r="A234" s="15" t="s">
        <v>45</v>
      </c>
    </row>
    <row r="235" spans="1:9" x14ac:dyDescent="0.3">
      <c r="A235" s="48" t="s">
        <v>35</v>
      </c>
      <c r="C235">
        <v>-3000</v>
      </c>
      <c r="D235">
        <v>0</v>
      </c>
      <c r="E235">
        <v>9000</v>
      </c>
      <c r="F235">
        <v>-3000</v>
      </c>
      <c r="G235">
        <v>-3000</v>
      </c>
      <c r="H235">
        <v>-3000</v>
      </c>
      <c r="I235">
        <v>-3000</v>
      </c>
    </row>
    <row r="236" spans="1:9" x14ac:dyDescent="0.3">
      <c r="A236" s="48" t="s">
        <v>41</v>
      </c>
      <c r="C236">
        <v>-2000</v>
      </c>
      <c r="D236">
        <v>-1000</v>
      </c>
      <c r="E236">
        <v>8000</v>
      </c>
      <c r="F236">
        <v>-4000</v>
      </c>
      <c r="G236">
        <v>-4000</v>
      </c>
      <c r="H236">
        <v>-4000</v>
      </c>
      <c r="I236">
        <v>-4000</v>
      </c>
    </row>
    <row r="237" spans="1:9" x14ac:dyDescent="0.3">
      <c r="A237" s="48" t="s">
        <v>42</v>
      </c>
      <c r="C237">
        <v>-1000</v>
      </c>
      <c r="D237">
        <v>-2000</v>
      </c>
      <c r="E237">
        <v>7000</v>
      </c>
      <c r="F237">
        <v>-5000</v>
      </c>
      <c r="G237">
        <v>-5000</v>
      </c>
      <c r="H237">
        <v>-5000</v>
      </c>
      <c r="I237">
        <v>-5000</v>
      </c>
    </row>
    <row r="238" spans="1:9" x14ac:dyDescent="0.3">
      <c r="A238" s="48" t="s">
        <v>43</v>
      </c>
      <c r="C238">
        <v>0</v>
      </c>
      <c r="D238">
        <v>-3000</v>
      </c>
      <c r="E238">
        <v>6000</v>
      </c>
      <c r="F238">
        <v>-6000</v>
      </c>
      <c r="G238">
        <v>-6000</v>
      </c>
      <c r="H238">
        <v>-6000</v>
      </c>
      <c r="I238">
        <v>-6000</v>
      </c>
    </row>
    <row r="239" spans="1:9" x14ac:dyDescent="0.3">
      <c r="A239" s="48" t="s">
        <v>44</v>
      </c>
      <c r="C239">
        <v>1000</v>
      </c>
      <c r="D239">
        <v>-4000</v>
      </c>
      <c r="E239">
        <v>5000</v>
      </c>
      <c r="F239">
        <v>-7000</v>
      </c>
      <c r="G239">
        <v>-7000</v>
      </c>
      <c r="H239">
        <v>-7000</v>
      </c>
      <c r="I239">
        <v>-7000</v>
      </c>
    </row>
    <row r="240" spans="1:9" x14ac:dyDescent="0.3">
      <c r="A240" s="48" t="s">
        <v>54</v>
      </c>
      <c r="C240">
        <v>2000</v>
      </c>
      <c r="D240">
        <v>-5000</v>
      </c>
      <c r="E240">
        <v>4000</v>
      </c>
      <c r="F240">
        <v>-8000</v>
      </c>
      <c r="G240">
        <v>-8000</v>
      </c>
      <c r="H240">
        <v>-8000</v>
      </c>
      <c r="I240">
        <v>-8000</v>
      </c>
    </row>
    <row r="241" spans="1:9" x14ac:dyDescent="0.3">
      <c r="A241" s="48" t="s">
        <v>55</v>
      </c>
      <c r="C241">
        <v>3000</v>
      </c>
      <c r="D241">
        <v>-6000</v>
      </c>
      <c r="E241">
        <v>3000</v>
      </c>
      <c r="F241">
        <v>-9000</v>
      </c>
      <c r="G241">
        <v>-9000</v>
      </c>
      <c r="H241">
        <v>-9000</v>
      </c>
      <c r="I241">
        <v>-9000</v>
      </c>
    </row>
    <row r="242" spans="1:9" x14ac:dyDescent="0.3">
      <c r="A242" s="48" t="s">
        <v>56</v>
      </c>
      <c r="C242">
        <v>4000</v>
      </c>
      <c r="D242">
        <v>-7000</v>
      </c>
      <c r="E242">
        <v>2000</v>
      </c>
      <c r="F242">
        <v>-10000</v>
      </c>
      <c r="G242">
        <v>-10000</v>
      </c>
      <c r="H242">
        <v>-10000</v>
      </c>
      <c r="I242">
        <v>-10000</v>
      </c>
    </row>
    <row r="243" spans="1:9" x14ac:dyDescent="0.3">
      <c r="A243" s="48" t="s">
        <v>57</v>
      </c>
      <c r="C243">
        <v>5000</v>
      </c>
      <c r="D243">
        <v>-8000</v>
      </c>
      <c r="E243">
        <v>1000</v>
      </c>
      <c r="F243">
        <v>-11000</v>
      </c>
      <c r="G243">
        <v>-11000</v>
      </c>
      <c r="H243">
        <v>-11000</v>
      </c>
      <c r="I243">
        <v>-11000</v>
      </c>
    </row>
    <row r="244" spans="1:9" x14ac:dyDescent="0.3">
      <c r="A244" s="48" t="s">
        <v>58</v>
      </c>
      <c r="C244">
        <v>6000</v>
      </c>
      <c r="D244">
        <v>-9000</v>
      </c>
      <c r="E244">
        <v>0</v>
      </c>
      <c r="F244">
        <v>-12000</v>
      </c>
      <c r="G244">
        <v>-12000</v>
      </c>
      <c r="H244">
        <v>-12000</v>
      </c>
      <c r="I244">
        <v>-12000</v>
      </c>
    </row>
    <row r="245" spans="1:9" x14ac:dyDescent="0.3">
      <c r="A245" s="56" t="s">
        <v>46</v>
      </c>
    </row>
    <row r="246" spans="1:9" x14ac:dyDescent="0.3">
      <c r="A246" s="49" t="s">
        <v>35</v>
      </c>
      <c r="C246">
        <v>-4000</v>
      </c>
      <c r="D246">
        <v>2000</v>
      </c>
      <c r="E246">
        <v>8000</v>
      </c>
      <c r="F246">
        <v>-4000</v>
      </c>
      <c r="G246">
        <v>-4000</v>
      </c>
      <c r="H246">
        <v>-4000</v>
      </c>
      <c r="I246">
        <v>-4000</v>
      </c>
    </row>
    <row r="247" spans="1:9" x14ac:dyDescent="0.3">
      <c r="A247" s="48" t="s">
        <v>41</v>
      </c>
      <c r="C247">
        <v>-3000</v>
      </c>
      <c r="D247">
        <v>1000</v>
      </c>
      <c r="E247">
        <v>7000</v>
      </c>
      <c r="F247">
        <v>-5000</v>
      </c>
      <c r="G247">
        <v>-5000</v>
      </c>
      <c r="H247">
        <v>-5000</v>
      </c>
      <c r="I247">
        <v>-5000</v>
      </c>
    </row>
    <row r="248" spans="1:9" x14ac:dyDescent="0.3">
      <c r="A248" s="48" t="s">
        <v>42</v>
      </c>
      <c r="C248">
        <v>-2000</v>
      </c>
      <c r="D248">
        <v>0</v>
      </c>
      <c r="E248">
        <v>6000</v>
      </c>
      <c r="F248">
        <v>-6000</v>
      </c>
      <c r="G248">
        <v>-6000</v>
      </c>
      <c r="H248">
        <v>-6000</v>
      </c>
      <c r="I248">
        <v>-6000</v>
      </c>
    </row>
    <row r="249" spans="1:9" x14ac:dyDescent="0.3">
      <c r="A249" s="48" t="s">
        <v>43</v>
      </c>
      <c r="C249">
        <v>-1000</v>
      </c>
      <c r="D249">
        <v>-1000</v>
      </c>
      <c r="E249">
        <v>5000</v>
      </c>
      <c r="F249">
        <v>-7000</v>
      </c>
      <c r="G249">
        <v>-7000</v>
      </c>
      <c r="H249">
        <v>-7000</v>
      </c>
      <c r="I249">
        <v>-7000</v>
      </c>
    </row>
    <row r="250" spans="1:9" x14ac:dyDescent="0.3">
      <c r="A250" s="48" t="s">
        <v>44</v>
      </c>
      <c r="C250">
        <v>0</v>
      </c>
      <c r="D250">
        <v>-2000</v>
      </c>
      <c r="E250">
        <v>4000</v>
      </c>
      <c r="F250">
        <v>-8000</v>
      </c>
      <c r="G250">
        <v>-8000</v>
      </c>
      <c r="H250">
        <v>-8000</v>
      </c>
      <c r="I250">
        <v>-8000</v>
      </c>
    </row>
    <row r="251" spans="1:9" x14ac:dyDescent="0.3">
      <c r="A251" s="48" t="s">
        <v>54</v>
      </c>
      <c r="C251">
        <v>1000</v>
      </c>
      <c r="D251">
        <v>-3000</v>
      </c>
      <c r="E251">
        <v>3000</v>
      </c>
      <c r="F251">
        <v>-9000</v>
      </c>
      <c r="G251">
        <v>-9000</v>
      </c>
      <c r="H251">
        <v>-9000</v>
      </c>
      <c r="I251">
        <v>-9000</v>
      </c>
    </row>
    <row r="252" spans="1:9" x14ac:dyDescent="0.3">
      <c r="A252" s="48" t="s">
        <v>55</v>
      </c>
      <c r="C252">
        <v>2000</v>
      </c>
      <c r="D252">
        <v>-4000</v>
      </c>
      <c r="E252">
        <v>2000</v>
      </c>
      <c r="F252">
        <v>-10000</v>
      </c>
      <c r="G252">
        <v>-10000</v>
      </c>
      <c r="H252">
        <v>-10000</v>
      </c>
      <c r="I252">
        <v>-10000</v>
      </c>
    </row>
    <row r="253" spans="1:9" x14ac:dyDescent="0.3">
      <c r="A253" s="48" t="s">
        <v>56</v>
      </c>
      <c r="C253">
        <v>3000</v>
      </c>
      <c r="D253">
        <v>-5000</v>
      </c>
      <c r="E253">
        <v>1000</v>
      </c>
      <c r="F253">
        <v>-11000</v>
      </c>
      <c r="G253">
        <v>-11000</v>
      </c>
      <c r="H253">
        <v>-11000</v>
      </c>
      <c r="I253">
        <v>-11000</v>
      </c>
    </row>
    <row r="254" spans="1:9" x14ac:dyDescent="0.3">
      <c r="A254" s="48" t="s">
        <v>57</v>
      </c>
      <c r="C254">
        <v>4000</v>
      </c>
      <c r="D254">
        <v>-6000</v>
      </c>
      <c r="E254">
        <v>0</v>
      </c>
      <c r="F254">
        <v>-12000</v>
      </c>
      <c r="G254">
        <v>-12000</v>
      </c>
      <c r="H254">
        <v>-12000</v>
      </c>
      <c r="I254">
        <v>-12000</v>
      </c>
    </row>
    <row r="255" spans="1:9" x14ac:dyDescent="0.3">
      <c r="A255" s="48" t="s">
        <v>58</v>
      </c>
      <c r="C255">
        <v>5000</v>
      </c>
      <c r="D255">
        <v>-7000</v>
      </c>
      <c r="E255">
        <v>-1000</v>
      </c>
      <c r="F255">
        <v>-13000</v>
      </c>
      <c r="G255">
        <v>-13000</v>
      </c>
      <c r="H255">
        <v>-13000</v>
      </c>
      <c r="I255">
        <v>-13000</v>
      </c>
    </row>
    <row r="256" spans="1:9" x14ac:dyDescent="0.3">
      <c r="A256" s="56" t="s">
        <v>47</v>
      </c>
    </row>
    <row r="257" spans="1:9" x14ac:dyDescent="0.3">
      <c r="A257" s="49" t="s">
        <v>35</v>
      </c>
      <c r="C257">
        <v>-5000</v>
      </c>
      <c r="D257">
        <v>4000</v>
      </c>
      <c r="E257">
        <v>7000</v>
      </c>
      <c r="F257">
        <v>-5000</v>
      </c>
      <c r="G257">
        <v>-5000</v>
      </c>
      <c r="H257">
        <v>-5000</v>
      </c>
      <c r="I257">
        <v>-5000</v>
      </c>
    </row>
    <row r="258" spans="1:9" x14ac:dyDescent="0.3">
      <c r="A258" s="48" t="s">
        <v>41</v>
      </c>
      <c r="C258">
        <v>-4000</v>
      </c>
      <c r="D258">
        <v>3000</v>
      </c>
      <c r="E258">
        <v>6000</v>
      </c>
      <c r="F258">
        <v>-6000</v>
      </c>
      <c r="G258">
        <v>-6000</v>
      </c>
      <c r="H258">
        <v>-6000</v>
      </c>
      <c r="I258">
        <v>-6000</v>
      </c>
    </row>
    <row r="259" spans="1:9" x14ac:dyDescent="0.3">
      <c r="A259" s="48" t="s">
        <v>42</v>
      </c>
      <c r="C259">
        <v>-3000</v>
      </c>
      <c r="D259">
        <v>2000</v>
      </c>
      <c r="E259">
        <v>5000</v>
      </c>
      <c r="F259">
        <v>-7000</v>
      </c>
      <c r="G259">
        <v>-7000</v>
      </c>
      <c r="H259">
        <v>-7000</v>
      </c>
      <c r="I259">
        <v>-7000</v>
      </c>
    </row>
    <row r="260" spans="1:9" x14ac:dyDescent="0.3">
      <c r="A260" s="48" t="s">
        <v>43</v>
      </c>
      <c r="C260">
        <v>-2000</v>
      </c>
      <c r="D260">
        <v>1000</v>
      </c>
      <c r="E260">
        <v>4000</v>
      </c>
      <c r="F260">
        <v>-8000</v>
      </c>
      <c r="G260">
        <v>-8000</v>
      </c>
      <c r="H260">
        <v>-8000</v>
      </c>
      <c r="I260">
        <v>-8000</v>
      </c>
    </row>
    <row r="261" spans="1:9" x14ac:dyDescent="0.3">
      <c r="A261" s="48" t="s">
        <v>44</v>
      </c>
      <c r="C261">
        <v>-1000</v>
      </c>
      <c r="D261">
        <v>0</v>
      </c>
      <c r="E261">
        <v>3000</v>
      </c>
      <c r="F261">
        <v>-9000</v>
      </c>
      <c r="G261">
        <v>-9000</v>
      </c>
      <c r="H261">
        <v>-9000</v>
      </c>
      <c r="I261">
        <v>-9000</v>
      </c>
    </row>
    <row r="262" spans="1:9" x14ac:dyDescent="0.3">
      <c r="A262" s="48" t="s">
        <v>54</v>
      </c>
      <c r="C262">
        <v>0</v>
      </c>
      <c r="D262">
        <v>-1000</v>
      </c>
      <c r="E262">
        <v>2000</v>
      </c>
      <c r="F262">
        <v>-10000</v>
      </c>
      <c r="G262">
        <v>-10000</v>
      </c>
      <c r="H262">
        <v>-10000</v>
      </c>
      <c r="I262">
        <v>-10000</v>
      </c>
    </row>
    <row r="263" spans="1:9" x14ac:dyDescent="0.3">
      <c r="A263" s="48" t="s">
        <v>55</v>
      </c>
      <c r="C263">
        <v>1000</v>
      </c>
      <c r="D263">
        <v>-2000</v>
      </c>
      <c r="E263">
        <v>1000</v>
      </c>
      <c r="F263">
        <v>-11000</v>
      </c>
      <c r="G263">
        <v>-11000</v>
      </c>
      <c r="H263">
        <v>-11000</v>
      </c>
      <c r="I263">
        <v>-11000</v>
      </c>
    </row>
    <row r="264" spans="1:9" x14ac:dyDescent="0.3">
      <c r="A264" s="48" t="s">
        <v>56</v>
      </c>
      <c r="C264">
        <v>2000</v>
      </c>
      <c r="D264">
        <v>-3000</v>
      </c>
      <c r="E264">
        <v>0</v>
      </c>
      <c r="F264">
        <v>-12000</v>
      </c>
      <c r="G264">
        <v>-12000</v>
      </c>
      <c r="H264">
        <v>-12000</v>
      </c>
      <c r="I264">
        <v>-12000</v>
      </c>
    </row>
    <row r="265" spans="1:9" x14ac:dyDescent="0.3">
      <c r="A265" s="48" t="s">
        <v>57</v>
      </c>
      <c r="C265">
        <v>3000</v>
      </c>
      <c r="D265">
        <v>-4000</v>
      </c>
      <c r="E265">
        <v>-1000</v>
      </c>
      <c r="F265">
        <v>-13000</v>
      </c>
      <c r="G265">
        <v>-13000</v>
      </c>
      <c r="H265">
        <v>-13000</v>
      </c>
      <c r="I265">
        <v>-13000</v>
      </c>
    </row>
    <row r="266" spans="1:9" x14ac:dyDescent="0.3">
      <c r="A266" s="48" t="s">
        <v>58</v>
      </c>
      <c r="C266">
        <v>4000</v>
      </c>
      <c r="D266">
        <v>-5000</v>
      </c>
      <c r="E266">
        <v>-2000</v>
      </c>
      <c r="F266">
        <v>-14000</v>
      </c>
      <c r="G266">
        <v>-14000</v>
      </c>
      <c r="H266">
        <v>-14000</v>
      </c>
      <c r="I266">
        <v>-14000</v>
      </c>
    </row>
    <row r="267" spans="1:9" x14ac:dyDescent="0.3">
      <c r="A267" s="56" t="s">
        <v>48</v>
      </c>
    </row>
    <row r="268" spans="1:9" x14ac:dyDescent="0.3">
      <c r="A268" s="49" t="s">
        <v>35</v>
      </c>
      <c r="C268">
        <v>-6000</v>
      </c>
      <c r="D268">
        <v>6000</v>
      </c>
      <c r="E268">
        <v>6000</v>
      </c>
      <c r="F268">
        <v>-6000</v>
      </c>
      <c r="G268">
        <v>-6000</v>
      </c>
      <c r="H268">
        <v>-6000</v>
      </c>
      <c r="I268">
        <v>-6000</v>
      </c>
    </row>
    <row r="269" spans="1:9" x14ac:dyDescent="0.3">
      <c r="A269" s="48" t="s">
        <v>41</v>
      </c>
      <c r="C269">
        <v>-5000</v>
      </c>
      <c r="D269">
        <v>5000</v>
      </c>
      <c r="E269">
        <v>5000</v>
      </c>
      <c r="F269">
        <v>-7000</v>
      </c>
      <c r="G269">
        <v>-7000</v>
      </c>
      <c r="H269">
        <v>-7000</v>
      </c>
      <c r="I269">
        <v>-7000</v>
      </c>
    </row>
    <row r="270" spans="1:9" x14ac:dyDescent="0.3">
      <c r="A270" s="48" t="s">
        <v>42</v>
      </c>
      <c r="C270">
        <v>-4000</v>
      </c>
      <c r="D270">
        <v>4000</v>
      </c>
      <c r="E270">
        <v>4000</v>
      </c>
      <c r="F270">
        <v>-8000</v>
      </c>
      <c r="G270">
        <v>-8000</v>
      </c>
      <c r="H270">
        <v>-8000</v>
      </c>
      <c r="I270">
        <v>-8000</v>
      </c>
    </row>
    <row r="271" spans="1:9" x14ac:dyDescent="0.3">
      <c r="A271" s="48" t="s">
        <v>43</v>
      </c>
      <c r="C271">
        <v>-3000</v>
      </c>
      <c r="D271">
        <v>3000</v>
      </c>
      <c r="E271">
        <v>3000</v>
      </c>
      <c r="F271">
        <v>-9000</v>
      </c>
      <c r="G271">
        <v>-9000</v>
      </c>
      <c r="H271">
        <v>-9000</v>
      </c>
      <c r="I271">
        <v>-9000</v>
      </c>
    </row>
    <row r="272" spans="1:9" x14ac:dyDescent="0.3">
      <c r="A272" s="48" t="s">
        <v>44</v>
      </c>
      <c r="C272">
        <v>-2000</v>
      </c>
      <c r="D272">
        <v>2000</v>
      </c>
      <c r="E272">
        <v>2000</v>
      </c>
      <c r="F272">
        <v>-10000</v>
      </c>
      <c r="G272">
        <v>-10000</v>
      </c>
      <c r="H272">
        <v>-10000</v>
      </c>
      <c r="I272">
        <v>-10000</v>
      </c>
    </row>
    <row r="273" spans="1:9" x14ac:dyDescent="0.3">
      <c r="A273" s="48" t="s">
        <v>54</v>
      </c>
      <c r="C273">
        <v>-1000</v>
      </c>
      <c r="D273">
        <v>1000</v>
      </c>
      <c r="E273">
        <v>1000</v>
      </c>
      <c r="F273">
        <v>-11000</v>
      </c>
      <c r="G273">
        <v>-11000</v>
      </c>
      <c r="H273">
        <v>-11000</v>
      </c>
      <c r="I273">
        <v>-11000</v>
      </c>
    </row>
    <row r="274" spans="1:9" x14ac:dyDescent="0.3">
      <c r="A274" s="48" t="s">
        <v>55</v>
      </c>
      <c r="C274">
        <v>0</v>
      </c>
      <c r="D274">
        <v>0</v>
      </c>
      <c r="E274">
        <v>0</v>
      </c>
      <c r="F274">
        <v>-12000</v>
      </c>
      <c r="G274">
        <v>-12000</v>
      </c>
      <c r="H274">
        <v>-12000</v>
      </c>
      <c r="I274">
        <v>-12000</v>
      </c>
    </row>
    <row r="275" spans="1:9" x14ac:dyDescent="0.3">
      <c r="A275" s="48" t="s">
        <v>56</v>
      </c>
      <c r="C275">
        <v>1000</v>
      </c>
      <c r="D275">
        <v>-1000</v>
      </c>
      <c r="E275">
        <v>-1000</v>
      </c>
      <c r="F275">
        <v>-13000</v>
      </c>
      <c r="G275">
        <v>-13000</v>
      </c>
      <c r="H275">
        <v>-13000</v>
      </c>
      <c r="I275">
        <v>-13000</v>
      </c>
    </row>
    <row r="276" spans="1:9" x14ac:dyDescent="0.3">
      <c r="A276" s="48" t="s">
        <v>57</v>
      </c>
      <c r="C276">
        <v>2000</v>
      </c>
      <c r="D276">
        <v>-2000</v>
      </c>
      <c r="E276">
        <v>-2000</v>
      </c>
      <c r="F276">
        <v>-14000</v>
      </c>
      <c r="G276">
        <v>-14000</v>
      </c>
      <c r="H276">
        <v>-14000</v>
      </c>
      <c r="I276">
        <v>-14000</v>
      </c>
    </row>
    <row r="277" spans="1:9" x14ac:dyDescent="0.3">
      <c r="A277" s="48" t="s">
        <v>58</v>
      </c>
      <c r="C277">
        <v>3000</v>
      </c>
      <c r="D277">
        <v>-3000</v>
      </c>
      <c r="E277">
        <v>-3000</v>
      </c>
      <c r="F277">
        <v>-15000</v>
      </c>
      <c r="G277">
        <v>-15000</v>
      </c>
      <c r="H277">
        <v>-15000</v>
      </c>
      <c r="I277">
        <v>-15000</v>
      </c>
    </row>
    <row r="278" spans="1:9" x14ac:dyDescent="0.3">
      <c r="A278" s="56" t="s">
        <v>59</v>
      </c>
    </row>
    <row r="279" spans="1:9" x14ac:dyDescent="0.3">
      <c r="A279" s="49" t="s">
        <v>35</v>
      </c>
      <c r="C279">
        <v>-7000</v>
      </c>
      <c r="D279">
        <v>8000</v>
      </c>
      <c r="E279">
        <v>5000</v>
      </c>
      <c r="F279">
        <v>-7000</v>
      </c>
      <c r="G279">
        <v>-7000</v>
      </c>
      <c r="H279">
        <v>-7000</v>
      </c>
      <c r="I279">
        <v>-7000</v>
      </c>
    </row>
    <row r="280" spans="1:9" x14ac:dyDescent="0.3">
      <c r="A280" s="48" t="s">
        <v>41</v>
      </c>
      <c r="C280">
        <v>-6000</v>
      </c>
      <c r="D280">
        <v>7000</v>
      </c>
      <c r="E280">
        <v>4000</v>
      </c>
      <c r="F280">
        <v>-8000</v>
      </c>
      <c r="G280">
        <v>-8000</v>
      </c>
      <c r="H280">
        <v>-8000</v>
      </c>
      <c r="I280">
        <v>-8000</v>
      </c>
    </row>
    <row r="281" spans="1:9" x14ac:dyDescent="0.3">
      <c r="A281" s="48" t="s">
        <v>42</v>
      </c>
      <c r="C281">
        <v>-5000</v>
      </c>
      <c r="D281">
        <v>6000</v>
      </c>
      <c r="E281">
        <v>3000</v>
      </c>
      <c r="F281">
        <v>-9000</v>
      </c>
      <c r="G281">
        <v>-9000</v>
      </c>
      <c r="H281">
        <v>-9000</v>
      </c>
      <c r="I281">
        <v>-9000</v>
      </c>
    </row>
    <row r="282" spans="1:9" x14ac:dyDescent="0.3">
      <c r="A282" s="48" t="s">
        <v>43</v>
      </c>
      <c r="C282">
        <v>-4000</v>
      </c>
      <c r="D282">
        <v>5000</v>
      </c>
      <c r="E282">
        <v>2000</v>
      </c>
      <c r="F282">
        <v>-10000</v>
      </c>
      <c r="G282">
        <v>-10000</v>
      </c>
      <c r="H282">
        <v>-10000</v>
      </c>
      <c r="I282">
        <v>-10000</v>
      </c>
    </row>
    <row r="283" spans="1:9" x14ac:dyDescent="0.3">
      <c r="A283" s="48" t="s">
        <v>44</v>
      </c>
      <c r="C283">
        <v>-3000</v>
      </c>
      <c r="D283">
        <v>4000</v>
      </c>
      <c r="E283">
        <v>1000</v>
      </c>
      <c r="F283">
        <v>-11000</v>
      </c>
      <c r="G283">
        <v>-11000</v>
      </c>
      <c r="H283">
        <v>-11000</v>
      </c>
      <c r="I283">
        <v>-11000</v>
      </c>
    </row>
    <row r="284" spans="1:9" x14ac:dyDescent="0.3">
      <c r="A284" s="48" t="s">
        <v>54</v>
      </c>
      <c r="C284">
        <v>-2000</v>
      </c>
      <c r="D284">
        <v>3000</v>
      </c>
      <c r="E284">
        <v>0</v>
      </c>
      <c r="F284">
        <v>-12000</v>
      </c>
      <c r="G284">
        <v>-12000</v>
      </c>
      <c r="H284">
        <v>-12000</v>
      </c>
      <c r="I284">
        <v>-12000</v>
      </c>
    </row>
    <row r="285" spans="1:9" x14ac:dyDescent="0.3">
      <c r="A285" s="48" t="s">
        <v>55</v>
      </c>
      <c r="C285">
        <v>-1000</v>
      </c>
      <c r="D285">
        <v>2000</v>
      </c>
      <c r="E285">
        <v>-1000</v>
      </c>
      <c r="F285">
        <v>-13000</v>
      </c>
      <c r="G285">
        <v>-13000</v>
      </c>
      <c r="H285">
        <v>-13000</v>
      </c>
      <c r="I285">
        <v>-13000</v>
      </c>
    </row>
    <row r="286" spans="1:9" x14ac:dyDescent="0.3">
      <c r="A286" s="48" t="s">
        <v>56</v>
      </c>
      <c r="C286">
        <v>0</v>
      </c>
      <c r="D286">
        <v>1000</v>
      </c>
      <c r="E286">
        <v>-2000</v>
      </c>
      <c r="F286">
        <v>-14000</v>
      </c>
      <c r="G286">
        <v>-14000</v>
      </c>
      <c r="H286">
        <v>-14000</v>
      </c>
      <c r="I286">
        <v>-14000</v>
      </c>
    </row>
    <row r="287" spans="1:9" x14ac:dyDescent="0.3">
      <c r="A287" s="48" t="s">
        <v>57</v>
      </c>
      <c r="C287">
        <v>1000</v>
      </c>
      <c r="D287">
        <v>0</v>
      </c>
      <c r="E287">
        <v>-3000</v>
      </c>
      <c r="F287">
        <v>-15000</v>
      </c>
      <c r="G287">
        <v>-15000</v>
      </c>
      <c r="H287">
        <v>-15000</v>
      </c>
      <c r="I287">
        <v>-15000</v>
      </c>
    </row>
    <row r="288" spans="1:9" x14ac:dyDescent="0.3">
      <c r="A288" s="48" t="s">
        <v>58</v>
      </c>
      <c r="C288">
        <v>2000</v>
      </c>
      <c r="D288">
        <v>-1000</v>
      </c>
      <c r="E288">
        <v>-4000</v>
      </c>
      <c r="F288">
        <v>-16000</v>
      </c>
      <c r="G288">
        <v>-16000</v>
      </c>
      <c r="H288">
        <v>-16000</v>
      </c>
      <c r="I288">
        <v>-16000</v>
      </c>
    </row>
    <row r="289" spans="1:9" x14ac:dyDescent="0.3">
      <c r="A289" s="56" t="s">
        <v>60</v>
      </c>
    </row>
    <row r="290" spans="1:9" x14ac:dyDescent="0.3">
      <c r="A290" s="49" t="s">
        <v>35</v>
      </c>
      <c r="C290">
        <v>-8000</v>
      </c>
      <c r="D290">
        <v>10000</v>
      </c>
      <c r="E290">
        <v>4000</v>
      </c>
      <c r="F290">
        <v>-8000</v>
      </c>
      <c r="G290">
        <v>-8000</v>
      </c>
      <c r="H290">
        <v>-8000</v>
      </c>
      <c r="I290">
        <v>-8000</v>
      </c>
    </row>
    <row r="291" spans="1:9" x14ac:dyDescent="0.3">
      <c r="A291" s="48" t="s">
        <v>41</v>
      </c>
      <c r="C291">
        <v>-7000</v>
      </c>
      <c r="D291">
        <v>9000</v>
      </c>
      <c r="E291">
        <v>3000</v>
      </c>
      <c r="F291">
        <v>-9000</v>
      </c>
      <c r="G291">
        <v>-9000</v>
      </c>
      <c r="H291">
        <v>-9000</v>
      </c>
      <c r="I291">
        <v>-9000</v>
      </c>
    </row>
    <row r="292" spans="1:9" x14ac:dyDescent="0.3">
      <c r="A292" s="48" t="s">
        <v>42</v>
      </c>
      <c r="C292">
        <v>-6000</v>
      </c>
      <c r="D292">
        <v>8000</v>
      </c>
      <c r="E292">
        <v>2000</v>
      </c>
      <c r="F292">
        <v>-10000</v>
      </c>
      <c r="G292">
        <v>-10000</v>
      </c>
      <c r="H292">
        <v>-10000</v>
      </c>
      <c r="I292">
        <v>-10000</v>
      </c>
    </row>
    <row r="293" spans="1:9" x14ac:dyDescent="0.3">
      <c r="A293" s="48" t="s">
        <v>43</v>
      </c>
      <c r="C293">
        <v>-5000</v>
      </c>
      <c r="D293">
        <v>7000</v>
      </c>
      <c r="E293">
        <v>1000</v>
      </c>
      <c r="F293">
        <v>-11000</v>
      </c>
      <c r="G293">
        <v>-11000</v>
      </c>
      <c r="H293">
        <v>-11000</v>
      </c>
      <c r="I293">
        <v>-11000</v>
      </c>
    </row>
    <row r="294" spans="1:9" x14ac:dyDescent="0.3">
      <c r="A294" s="48" t="s">
        <v>44</v>
      </c>
      <c r="C294">
        <v>-4000</v>
      </c>
      <c r="D294">
        <v>6000</v>
      </c>
      <c r="E294">
        <v>0</v>
      </c>
      <c r="F294">
        <v>-12000</v>
      </c>
      <c r="G294">
        <v>-12000</v>
      </c>
      <c r="H294">
        <v>-12000</v>
      </c>
      <c r="I294">
        <v>-12000</v>
      </c>
    </row>
    <row r="295" spans="1:9" x14ac:dyDescent="0.3">
      <c r="A295" s="48" t="s">
        <v>54</v>
      </c>
      <c r="C295">
        <v>-3000</v>
      </c>
      <c r="D295">
        <v>5000</v>
      </c>
      <c r="E295">
        <v>-1000</v>
      </c>
      <c r="F295">
        <v>-13000</v>
      </c>
      <c r="G295">
        <v>-13000</v>
      </c>
      <c r="H295">
        <v>-13000</v>
      </c>
      <c r="I295">
        <v>-13000</v>
      </c>
    </row>
    <row r="296" spans="1:9" x14ac:dyDescent="0.3">
      <c r="A296" s="48" t="s">
        <v>55</v>
      </c>
      <c r="C296">
        <v>-2000</v>
      </c>
      <c r="D296">
        <v>4000</v>
      </c>
      <c r="E296">
        <v>-2000</v>
      </c>
      <c r="F296">
        <v>-14000</v>
      </c>
      <c r="G296">
        <v>-14000</v>
      </c>
      <c r="H296">
        <v>-14000</v>
      </c>
      <c r="I296">
        <v>-14000</v>
      </c>
    </row>
    <row r="297" spans="1:9" x14ac:dyDescent="0.3">
      <c r="A297" s="48" t="s">
        <v>56</v>
      </c>
      <c r="C297">
        <v>-1000</v>
      </c>
      <c r="D297">
        <v>3000</v>
      </c>
      <c r="E297">
        <v>-3000</v>
      </c>
      <c r="F297">
        <v>-15000</v>
      </c>
      <c r="G297">
        <v>-15000</v>
      </c>
      <c r="H297">
        <v>-15000</v>
      </c>
      <c r="I297">
        <v>-15000</v>
      </c>
    </row>
    <row r="298" spans="1:9" x14ac:dyDescent="0.3">
      <c r="A298" s="48" t="s">
        <v>57</v>
      </c>
      <c r="C298">
        <v>0</v>
      </c>
      <c r="D298">
        <v>2000</v>
      </c>
      <c r="E298">
        <v>-4000</v>
      </c>
      <c r="F298">
        <v>-16000</v>
      </c>
      <c r="G298">
        <v>-16000</v>
      </c>
      <c r="H298">
        <v>-16000</v>
      </c>
      <c r="I298">
        <v>-16000</v>
      </c>
    </row>
    <row r="299" spans="1:9" x14ac:dyDescent="0.3">
      <c r="A299" s="48" t="s">
        <v>58</v>
      </c>
      <c r="C299">
        <v>1000</v>
      </c>
      <c r="D299">
        <v>1000</v>
      </c>
      <c r="E299">
        <v>-5000</v>
      </c>
      <c r="F299">
        <v>-17000</v>
      </c>
      <c r="G299">
        <v>-17000</v>
      </c>
      <c r="H299">
        <v>-17000</v>
      </c>
      <c r="I299">
        <v>-17000</v>
      </c>
    </row>
    <row r="300" spans="1:9" x14ac:dyDescent="0.3">
      <c r="A300" s="56" t="s">
        <v>61</v>
      </c>
    </row>
    <row r="301" spans="1:9" x14ac:dyDescent="0.3">
      <c r="A301" s="49" t="s">
        <v>35</v>
      </c>
      <c r="C301">
        <v>-9000</v>
      </c>
      <c r="D301">
        <v>12000</v>
      </c>
      <c r="E301">
        <v>3000</v>
      </c>
      <c r="F301">
        <v>-9000</v>
      </c>
      <c r="G301">
        <v>-9000</v>
      </c>
      <c r="H301">
        <v>-9000</v>
      </c>
      <c r="I301">
        <v>-9000</v>
      </c>
    </row>
    <row r="302" spans="1:9" x14ac:dyDescent="0.3">
      <c r="A302" s="48" t="s">
        <v>41</v>
      </c>
      <c r="C302">
        <v>-8000</v>
      </c>
      <c r="D302">
        <v>11000</v>
      </c>
      <c r="E302">
        <v>2000</v>
      </c>
      <c r="F302">
        <v>-10000</v>
      </c>
      <c r="G302">
        <v>-10000</v>
      </c>
      <c r="H302">
        <v>-10000</v>
      </c>
      <c r="I302">
        <v>-10000</v>
      </c>
    </row>
    <row r="303" spans="1:9" x14ac:dyDescent="0.3">
      <c r="A303" s="48" t="s">
        <v>42</v>
      </c>
      <c r="C303">
        <v>-7000</v>
      </c>
      <c r="D303">
        <v>10000</v>
      </c>
      <c r="E303">
        <v>1000</v>
      </c>
      <c r="F303">
        <v>-11000</v>
      </c>
      <c r="G303">
        <v>-11000</v>
      </c>
      <c r="H303">
        <v>-11000</v>
      </c>
      <c r="I303">
        <v>-11000</v>
      </c>
    </row>
    <row r="304" spans="1:9" x14ac:dyDescent="0.3">
      <c r="A304" s="48" t="s">
        <v>43</v>
      </c>
      <c r="C304">
        <v>-6000</v>
      </c>
      <c r="D304">
        <v>9000</v>
      </c>
      <c r="E304">
        <v>0</v>
      </c>
      <c r="F304">
        <v>-12000</v>
      </c>
      <c r="G304">
        <v>-12000</v>
      </c>
      <c r="H304">
        <v>-12000</v>
      </c>
      <c r="I304">
        <v>-12000</v>
      </c>
    </row>
    <row r="305" spans="1:9" x14ac:dyDescent="0.3">
      <c r="A305" s="48" t="s">
        <v>44</v>
      </c>
      <c r="C305">
        <v>-5000</v>
      </c>
      <c r="D305">
        <v>8000</v>
      </c>
      <c r="E305">
        <v>-1000</v>
      </c>
      <c r="F305">
        <v>-13000</v>
      </c>
      <c r="G305">
        <v>-13000</v>
      </c>
      <c r="H305">
        <v>-13000</v>
      </c>
      <c r="I305">
        <v>-13000</v>
      </c>
    </row>
    <row r="306" spans="1:9" x14ac:dyDescent="0.3">
      <c r="A306" s="48" t="s">
        <v>54</v>
      </c>
      <c r="C306">
        <v>-4000</v>
      </c>
      <c r="D306">
        <v>7000</v>
      </c>
      <c r="E306">
        <v>-2000</v>
      </c>
      <c r="F306">
        <v>-14000</v>
      </c>
      <c r="G306">
        <v>-14000</v>
      </c>
      <c r="H306">
        <v>-14000</v>
      </c>
      <c r="I306">
        <v>-14000</v>
      </c>
    </row>
    <row r="307" spans="1:9" x14ac:dyDescent="0.3">
      <c r="A307" s="48" t="s">
        <v>55</v>
      </c>
      <c r="C307">
        <v>-3000</v>
      </c>
      <c r="D307">
        <v>6000</v>
      </c>
      <c r="E307">
        <v>-3000</v>
      </c>
      <c r="F307">
        <v>-15000</v>
      </c>
      <c r="G307">
        <v>-15000</v>
      </c>
      <c r="H307">
        <v>-15000</v>
      </c>
      <c r="I307">
        <v>-15000</v>
      </c>
    </row>
    <row r="308" spans="1:9" x14ac:dyDescent="0.3">
      <c r="A308" s="48" t="s">
        <v>56</v>
      </c>
      <c r="C308">
        <v>-2000</v>
      </c>
      <c r="D308">
        <v>5000</v>
      </c>
      <c r="E308">
        <v>-4000</v>
      </c>
      <c r="F308">
        <v>-16000</v>
      </c>
      <c r="G308">
        <v>-16000</v>
      </c>
      <c r="H308">
        <v>-16000</v>
      </c>
      <c r="I308">
        <v>-16000</v>
      </c>
    </row>
    <row r="309" spans="1:9" x14ac:dyDescent="0.3">
      <c r="A309" s="48" t="s">
        <v>57</v>
      </c>
      <c r="C309">
        <v>-1000</v>
      </c>
      <c r="D309">
        <v>4000</v>
      </c>
      <c r="E309">
        <v>-5000</v>
      </c>
      <c r="F309">
        <v>-17000</v>
      </c>
      <c r="G309">
        <v>-17000</v>
      </c>
      <c r="H309">
        <v>-17000</v>
      </c>
      <c r="I309">
        <v>-17000</v>
      </c>
    </row>
    <row r="310" spans="1:9" x14ac:dyDescent="0.3">
      <c r="A310" s="48" t="s">
        <v>58</v>
      </c>
      <c r="C310">
        <v>0</v>
      </c>
      <c r="D310">
        <v>3000</v>
      </c>
      <c r="E310">
        <v>-6000</v>
      </c>
      <c r="F310">
        <v>-18000</v>
      </c>
      <c r="G310">
        <v>-18000</v>
      </c>
      <c r="H310">
        <v>-18000</v>
      </c>
      <c r="I310">
        <v>-18000</v>
      </c>
    </row>
    <row r="311" spans="1:9" x14ac:dyDescent="0.3">
      <c r="A311" s="56" t="s">
        <v>62</v>
      </c>
    </row>
    <row r="312" spans="1:9" x14ac:dyDescent="0.3">
      <c r="A312" s="49" t="s">
        <v>35</v>
      </c>
      <c r="C312">
        <v>-10000</v>
      </c>
      <c r="D312">
        <v>14000</v>
      </c>
      <c r="E312">
        <v>2000</v>
      </c>
      <c r="F312">
        <v>-10000</v>
      </c>
      <c r="G312">
        <v>-10000</v>
      </c>
      <c r="H312">
        <v>-10000</v>
      </c>
      <c r="I312">
        <v>-10000</v>
      </c>
    </row>
    <row r="313" spans="1:9" x14ac:dyDescent="0.3">
      <c r="A313" s="48" t="s">
        <v>41</v>
      </c>
      <c r="C313">
        <v>-9000</v>
      </c>
      <c r="D313">
        <v>13000</v>
      </c>
      <c r="E313">
        <v>1000</v>
      </c>
      <c r="F313">
        <v>-11000</v>
      </c>
      <c r="G313">
        <v>-11000</v>
      </c>
      <c r="H313">
        <v>-11000</v>
      </c>
      <c r="I313">
        <v>-11000</v>
      </c>
    </row>
    <row r="314" spans="1:9" x14ac:dyDescent="0.3">
      <c r="A314" s="48" t="s">
        <v>42</v>
      </c>
      <c r="C314">
        <v>-8000</v>
      </c>
      <c r="D314">
        <v>12000</v>
      </c>
      <c r="E314">
        <v>0</v>
      </c>
      <c r="F314">
        <v>-12000</v>
      </c>
      <c r="G314">
        <v>-12000</v>
      </c>
      <c r="H314">
        <v>-12000</v>
      </c>
      <c r="I314">
        <v>-12000</v>
      </c>
    </row>
    <row r="315" spans="1:9" x14ac:dyDescent="0.3">
      <c r="A315" s="48" t="s">
        <v>43</v>
      </c>
      <c r="C315">
        <v>-7000</v>
      </c>
      <c r="D315">
        <v>11000</v>
      </c>
      <c r="E315">
        <v>-1000</v>
      </c>
      <c r="F315">
        <v>-13000</v>
      </c>
      <c r="G315">
        <v>-13000</v>
      </c>
      <c r="H315">
        <v>-13000</v>
      </c>
      <c r="I315">
        <v>-13000</v>
      </c>
    </row>
    <row r="316" spans="1:9" x14ac:dyDescent="0.3">
      <c r="A316" s="48" t="s">
        <v>44</v>
      </c>
      <c r="C316">
        <v>-6000</v>
      </c>
      <c r="D316">
        <v>10000</v>
      </c>
      <c r="E316">
        <v>-2000</v>
      </c>
      <c r="F316">
        <v>-14000</v>
      </c>
      <c r="G316">
        <v>-14000</v>
      </c>
      <c r="H316">
        <v>-14000</v>
      </c>
      <c r="I316">
        <v>-14000</v>
      </c>
    </row>
    <row r="317" spans="1:9" x14ac:dyDescent="0.3">
      <c r="A317" s="48" t="s">
        <v>54</v>
      </c>
      <c r="C317">
        <v>-5000</v>
      </c>
      <c r="D317">
        <v>9000</v>
      </c>
      <c r="E317">
        <v>-3000</v>
      </c>
      <c r="F317">
        <v>-15000</v>
      </c>
      <c r="G317">
        <v>-15000</v>
      </c>
      <c r="H317">
        <v>-15000</v>
      </c>
      <c r="I317">
        <v>-15000</v>
      </c>
    </row>
    <row r="318" spans="1:9" x14ac:dyDescent="0.3">
      <c r="A318" s="48" t="s">
        <v>55</v>
      </c>
      <c r="C318">
        <v>-4000</v>
      </c>
      <c r="D318">
        <v>8000</v>
      </c>
      <c r="E318">
        <v>-4000</v>
      </c>
      <c r="F318">
        <v>-16000</v>
      </c>
      <c r="G318">
        <v>-16000</v>
      </c>
      <c r="H318">
        <v>-16000</v>
      </c>
      <c r="I318">
        <v>-16000</v>
      </c>
    </row>
    <row r="319" spans="1:9" x14ac:dyDescent="0.3">
      <c r="A319" s="48" t="s">
        <v>56</v>
      </c>
      <c r="C319">
        <v>-3000</v>
      </c>
      <c r="D319">
        <v>7000</v>
      </c>
      <c r="E319">
        <v>-5000</v>
      </c>
      <c r="F319">
        <v>-17000</v>
      </c>
      <c r="G319">
        <v>-17000</v>
      </c>
      <c r="H319">
        <v>-17000</v>
      </c>
      <c r="I319">
        <v>-17000</v>
      </c>
    </row>
    <row r="320" spans="1:9" x14ac:dyDescent="0.3">
      <c r="A320" s="48" t="s">
        <v>57</v>
      </c>
      <c r="C320">
        <v>-2000</v>
      </c>
      <c r="D320">
        <v>6000</v>
      </c>
      <c r="E320">
        <v>-6000</v>
      </c>
      <c r="F320">
        <v>-18000</v>
      </c>
      <c r="G320">
        <v>-18000</v>
      </c>
      <c r="H320">
        <v>-18000</v>
      </c>
      <c r="I320">
        <v>-18000</v>
      </c>
    </row>
    <row r="321" spans="1:9" x14ac:dyDescent="0.3">
      <c r="A321" s="48" t="s">
        <v>58</v>
      </c>
      <c r="C321">
        <v>-1000</v>
      </c>
      <c r="D321">
        <v>5000</v>
      </c>
      <c r="E321">
        <v>-7000</v>
      </c>
      <c r="F321">
        <v>-19000</v>
      </c>
      <c r="G321">
        <v>-19000</v>
      </c>
      <c r="H321">
        <v>-19000</v>
      </c>
      <c r="I321">
        <v>-19000</v>
      </c>
    </row>
    <row r="322" spans="1:9" x14ac:dyDescent="0.3">
      <c r="A322" s="15" t="s">
        <v>63</v>
      </c>
    </row>
    <row r="323" spans="1:9" x14ac:dyDescent="0.3">
      <c r="A323" s="48" t="s">
        <v>35</v>
      </c>
      <c r="C323">
        <v>-11000</v>
      </c>
      <c r="D323">
        <v>16000</v>
      </c>
      <c r="E323">
        <v>1000</v>
      </c>
      <c r="F323">
        <v>-11000</v>
      </c>
      <c r="G323">
        <v>-11000</v>
      </c>
      <c r="H323">
        <v>-11000</v>
      </c>
      <c r="I323">
        <v>-11000</v>
      </c>
    </row>
    <row r="324" spans="1:9" x14ac:dyDescent="0.3">
      <c r="A324" s="48" t="s">
        <v>41</v>
      </c>
      <c r="C324">
        <v>-10000</v>
      </c>
      <c r="D324">
        <v>15000</v>
      </c>
      <c r="E324">
        <v>0</v>
      </c>
      <c r="F324">
        <v>-12000</v>
      </c>
      <c r="G324">
        <v>-12000</v>
      </c>
      <c r="H324">
        <v>-12000</v>
      </c>
      <c r="I324">
        <v>-12000</v>
      </c>
    </row>
    <row r="325" spans="1:9" x14ac:dyDescent="0.3">
      <c r="A325" s="48" t="s">
        <v>42</v>
      </c>
      <c r="C325">
        <v>-9000</v>
      </c>
      <c r="D325">
        <v>14000</v>
      </c>
      <c r="E325">
        <v>-1000</v>
      </c>
      <c r="F325">
        <v>-13000</v>
      </c>
      <c r="G325">
        <v>-13000</v>
      </c>
      <c r="H325">
        <v>-13000</v>
      </c>
      <c r="I325">
        <v>-13000</v>
      </c>
    </row>
    <row r="326" spans="1:9" x14ac:dyDescent="0.3">
      <c r="A326" s="48" t="s">
        <v>43</v>
      </c>
      <c r="C326">
        <v>-8000</v>
      </c>
      <c r="D326">
        <v>13000</v>
      </c>
      <c r="E326">
        <v>-2000</v>
      </c>
      <c r="F326">
        <v>-14000</v>
      </c>
      <c r="G326">
        <v>-14000</v>
      </c>
      <c r="H326">
        <v>-14000</v>
      </c>
      <c r="I326">
        <v>-14000</v>
      </c>
    </row>
    <row r="327" spans="1:9" x14ac:dyDescent="0.3">
      <c r="A327" s="48" t="s">
        <v>44</v>
      </c>
      <c r="C327">
        <v>-7000</v>
      </c>
      <c r="D327">
        <v>12000</v>
      </c>
      <c r="E327">
        <v>-3000</v>
      </c>
      <c r="F327">
        <v>-15000</v>
      </c>
      <c r="G327">
        <v>-15000</v>
      </c>
      <c r="H327">
        <v>-15000</v>
      </c>
      <c r="I327">
        <v>-15000</v>
      </c>
    </row>
    <row r="328" spans="1:9" x14ac:dyDescent="0.3">
      <c r="A328" s="48" t="s">
        <v>54</v>
      </c>
      <c r="C328">
        <v>-6000</v>
      </c>
      <c r="D328">
        <v>11000</v>
      </c>
      <c r="E328">
        <v>-4000</v>
      </c>
      <c r="F328">
        <v>-16000</v>
      </c>
      <c r="G328">
        <v>-16000</v>
      </c>
      <c r="H328">
        <v>-16000</v>
      </c>
      <c r="I328">
        <v>-16000</v>
      </c>
    </row>
    <row r="329" spans="1:9" x14ac:dyDescent="0.3">
      <c r="A329" s="48" t="s">
        <v>55</v>
      </c>
      <c r="C329">
        <v>-5000</v>
      </c>
      <c r="D329">
        <v>10000</v>
      </c>
      <c r="E329">
        <v>-5000</v>
      </c>
      <c r="F329">
        <v>-17000</v>
      </c>
      <c r="G329">
        <v>-17000</v>
      </c>
      <c r="H329">
        <v>-17000</v>
      </c>
      <c r="I329">
        <v>-17000</v>
      </c>
    </row>
    <row r="330" spans="1:9" x14ac:dyDescent="0.3">
      <c r="A330" s="48" t="s">
        <v>56</v>
      </c>
      <c r="C330">
        <v>-4000</v>
      </c>
      <c r="D330">
        <v>9000</v>
      </c>
      <c r="E330">
        <v>-6000</v>
      </c>
      <c r="F330">
        <v>-18000</v>
      </c>
      <c r="G330">
        <v>-18000</v>
      </c>
      <c r="H330">
        <v>-18000</v>
      </c>
      <c r="I330">
        <v>-18000</v>
      </c>
    </row>
    <row r="331" spans="1:9" x14ac:dyDescent="0.3">
      <c r="A331" s="48" t="s">
        <v>57</v>
      </c>
      <c r="C331">
        <v>-3000</v>
      </c>
      <c r="D331">
        <v>8000</v>
      </c>
      <c r="E331">
        <v>-7000</v>
      </c>
      <c r="F331">
        <v>-19000</v>
      </c>
      <c r="G331">
        <v>-19000</v>
      </c>
      <c r="H331">
        <v>-19000</v>
      </c>
      <c r="I331">
        <v>-19000</v>
      </c>
    </row>
    <row r="332" spans="1:9" x14ac:dyDescent="0.3">
      <c r="A332" s="48" t="s">
        <v>58</v>
      </c>
      <c r="C332">
        <v>-2000</v>
      </c>
      <c r="D332">
        <v>7000</v>
      </c>
      <c r="E332">
        <v>-8000</v>
      </c>
      <c r="F332">
        <v>-20000</v>
      </c>
      <c r="G332">
        <v>-20000</v>
      </c>
      <c r="H332">
        <v>-20000</v>
      </c>
      <c r="I332">
        <v>-20000</v>
      </c>
    </row>
    <row r="333" spans="1:9" x14ac:dyDescent="0.3">
      <c r="A333" s="14" t="s">
        <v>51</v>
      </c>
    </row>
    <row r="334" spans="1:9" x14ac:dyDescent="0.3">
      <c r="A334" s="15" t="s">
        <v>34</v>
      </c>
    </row>
    <row r="335" spans="1:9" x14ac:dyDescent="0.3">
      <c r="A335" s="48" t="s">
        <v>35</v>
      </c>
      <c r="C335">
        <v>-3000</v>
      </c>
      <c r="D335">
        <v>-3000</v>
      </c>
      <c r="E335">
        <v>15000</v>
      </c>
      <c r="F335">
        <v>-3000</v>
      </c>
      <c r="G335">
        <v>-3000</v>
      </c>
      <c r="H335">
        <v>-3000</v>
      </c>
      <c r="I335">
        <v>-3000</v>
      </c>
    </row>
    <row r="336" spans="1:9" x14ac:dyDescent="0.3">
      <c r="A336" s="48" t="s">
        <v>41</v>
      </c>
      <c r="C336">
        <v>-2000</v>
      </c>
      <c r="D336">
        <v>-4000</v>
      </c>
      <c r="E336">
        <v>14000</v>
      </c>
      <c r="F336">
        <v>-4000</v>
      </c>
      <c r="G336">
        <v>-4000</v>
      </c>
      <c r="H336">
        <v>-4000</v>
      </c>
      <c r="I336">
        <v>-4000</v>
      </c>
    </row>
    <row r="337" spans="1:9" x14ac:dyDescent="0.3">
      <c r="A337" s="48" t="s">
        <v>42</v>
      </c>
      <c r="C337">
        <v>-1000</v>
      </c>
      <c r="D337">
        <v>-5000</v>
      </c>
      <c r="E337">
        <v>13000</v>
      </c>
      <c r="F337">
        <v>-5000</v>
      </c>
      <c r="G337">
        <v>-5000</v>
      </c>
      <c r="H337">
        <v>-5000</v>
      </c>
      <c r="I337">
        <v>-5000</v>
      </c>
    </row>
    <row r="338" spans="1:9" x14ac:dyDescent="0.3">
      <c r="A338" s="48" t="s">
        <v>43</v>
      </c>
      <c r="C338">
        <v>0</v>
      </c>
      <c r="D338">
        <v>-6000</v>
      </c>
      <c r="E338">
        <v>12000</v>
      </c>
      <c r="F338">
        <v>-6000</v>
      </c>
      <c r="G338">
        <v>-6000</v>
      </c>
      <c r="H338">
        <v>-6000</v>
      </c>
      <c r="I338">
        <v>-6000</v>
      </c>
    </row>
    <row r="339" spans="1:9" x14ac:dyDescent="0.3">
      <c r="A339" s="48" t="s">
        <v>44</v>
      </c>
      <c r="C339">
        <v>1000</v>
      </c>
      <c r="D339">
        <v>-7000</v>
      </c>
      <c r="E339">
        <v>11000</v>
      </c>
      <c r="F339">
        <v>-7000</v>
      </c>
      <c r="G339">
        <v>-7000</v>
      </c>
      <c r="H339">
        <v>-7000</v>
      </c>
      <c r="I339">
        <v>-7000</v>
      </c>
    </row>
    <row r="340" spans="1:9" x14ac:dyDescent="0.3">
      <c r="A340" s="48" t="s">
        <v>54</v>
      </c>
      <c r="C340">
        <v>2000</v>
      </c>
      <c r="D340">
        <v>-8000</v>
      </c>
      <c r="E340">
        <v>10000</v>
      </c>
      <c r="F340">
        <v>-8000</v>
      </c>
      <c r="G340">
        <v>-8000</v>
      </c>
      <c r="H340">
        <v>-8000</v>
      </c>
      <c r="I340">
        <v>-8000</v>
      </c>
    </row>
    <row r="341" spans="1:9" x14ac:dyDescent="0.3">
      <c r="A341" s="48" t="s">
        <v>55</v>
      </c>
      <c r="C341">
        <v>3000</v>
      </c>
      <c r="D341">
        <v>-9000</v>
      </c>
      <c r="E341">
        <v>9000</v>
      </c>
      <c r="F341">
        <v>-9000</v>
      </c>
      <c r="G341">
        <v>-9000</v>
      </c>
      <c r="H341">
        <v>-9000</v>
      </c>
      <c r="I341">
        <v>-9000</v>
      </c>
    </row>
    <row r="342" spans="1:9" x14ac:dyDescent="0.3">
      <c r="A342" s="48" t="s">
        <v>56</v>
      </c>
      <c r="C342">
        <v>4000</v>
      </c>
      <c r="D342">
        <v>-10000</v>
      </c>
      <c r="E342">
        <v>8000</v>
      </c>
      <c r="F342">
        <v>-10000</v>
      </c>
      <c r="G342">
        <v>-10000</v>
      </c>
      <c r="H342">
        <v>-10000</v>
      </c>
      <c r="I342">
        <v>-10000</v>
      </c>
    </row>
    <row r="343" spans="1:9" x14ac:dyDescent="0.3">
      <c r="A343" s="48" t="s">
        <v>57</v>
      </c>
      <c r="C343">
        <v>5000</v>
      </c>
      <c r="D343">
        <v>-11000</v>
      </c>
      <c r="E343">
        <v>7000</v>
      </c>
      <c r="F343">
        <v>-11000</v>
      </c>
      <c r="G343">
        <v>-11000</v>
      </c>
      <c r="H343">
        <v>-11000</v>
      </c>
      <c r="I343">
        <v>-11000</v>
      </c>
    </row>
    <row r="344" spans="1:9" x14ac:dyDescent="0.3">
      <c r="A344" s="48" t="s">
        <v>58</v>
      </c>
      <c r="C344">
        <v>6000</v>
      </c>
      <c r="D344">
        <v>-12000</v>
      </c>
      <c r="E344">
        <v>6000</v>
      </c>
      <c r="F344">
        <v>-12000</v>
      </c>
      <c r="G344">
        <v>-12000</v>
      </c>
      <c r="H344">
        <v>-12000</v>
      </c>
      <c r="I344">
        <v>-12000</v>
      </c>
    </row>
    <row r="345" spans="1:9" x14ac:dyDescent="0.3">
      <c r="A345" s="15" t="s">
        <v>45</v>
      </c>
    </row>
    <row r="346" spans="1:9" x14ac:dyDescent="0.3">
      <c r="A346" s="48" t="s">
        <v>35</v>
      </c>
      <c r="C346">
        <v>-4000</v>
      </c>
      <c r="D346">
        <v>-1000</v>
      </c>
      <c r="E346">
        <v>14000</v>
      </c>
      <c r="F346">
        <v>-4000</v>
      </c>
      <c r="G346">
        <v>-4000</v>
      </c>
      <c r="H346">
        <v>-4000</v>
      </c>
      <c r="I346">
        <v>-4000</v>
      </c>
    </row>
    <row r="347" spans="1:9" x14ac:dyDescent="0.3">
      <c r="A347" s="48" t="s">
        <v>41</v>
      </c>
      <c r="C347">
        <v>-3000</v>
      </c>
      <c r="D347">
        <v>-2000</v>
      </c>
      <c r="E347">
        <v>13000</v>
      </c>
      <c r="F347">
        <v>-5000</v>
      </c>
      <c r="G347">
        <v>-5000</v>
      </c>
      <c r="H347">
        <v>-5000</v>
      </c>
      <c r="I347">
        <v>-5000</v>
      </c>
    </row>
    <row r="348" spans="1:9" x14ac:dyDescent="0.3">
      <c r="A348" s="48" t="s">
        <v>42</v>
      </c>
      <c r="C348">
        <v>-2000</v>
      </c>
      <c r="D348">
        <v>-3000</v>
      </c>
      <c r="E348">
        <v>12000</v>
      </c>
      <c r="F348">
        <v>-6000</v>
      </c>
      <c r="G348">
        <v>-6000</v>
      </c>
      <c r="H348">
        <v>-6000</v>
      </c>
      <c r="I348">
        <v>-6000</v>
      </c>
    </row>
    <row r="349" spans="1:9" x14ac:dyDescent="0.3">
      <c r="A349" s="48" t="s">
        <v>43</v>
      </c>
      <c r="C349">
        <v>-1000</v>
      </c>
      <c r="D349">
        <v>-4000</v>
      </c>
      <c r="E349">
        <v>11000</v>
      </c>
      <c r="F349">
        <v>-7000</v>
      </c>
      <c r="G349">
        <v>-7000</v>
      </c>
      <c r="H349">
        <v>-7000</v>
      </c>
      <c r="I349">
        <v>-7000</v>
      </c>
    </row>
    <row r="350" spans="1:9" x14ac:dyDescent="0.3">
      <c r="A350" s="48" t="s">
        <v>44</v>
      </c>
      <c r="C350">
        <v>0</v>
      </c>
      <c r="D350">
        <v>-5000</v>
      </c>
      <c r="E350">
        <v>10000</v>
      </c>
      <c r="F350">
        <v>-8000</v>
      </c>
      <c r="G350">
        <v>-8000</v>
      </c>
      <c r="H350">
        <v>-8000</v>
      </c>
      <c r="I350">
        <v>-8000</v>
      </c>
    </row>
    <row r="351" spans="1:9" x14ac:dyDescent="0.3">
      <c r="A351" s="48" t="s">
        <v>54</v>
      </c>
      <c r="C351">
        <v>1000</v>
      </c>
      <c r="D351">
        <v>-6000</v>
      </c>
      <c r="E351">
        <v>9000</v>
      </c>
      <c r="F351">
        <v>-9000</v>
      </c>
      <c r="G351">
        <v>-9000</v>
      </c>
      <c r="H351">
        <v>-9000</v>
      </c>
      <c r="I351">
        <v>-9000</v>
      </c>
    </row>
    <row r="352" spans="1:9" x14ac:dyDescent="0.3">
      <c r="A352" s="48" t="s">
        <v>55</v>
      </c>
      <c r="C352">
        <v>2000</v>
      </c>
      <c r="D352">
        <v>-7000</v>
      </c>
      <c r="E352">
        <v>8000</v>
      </c>
      <c r="F352">
        <v>-10000</v>
      </c>
      <c r="G352">
        <v>-10000</v>
      </c>
      <c r="H352">
        <v>-10000</v>
      </c>
      <c r="I352">
        <v>-10000</v>
      </c>
    </row>
    <row r="353" spans="1:9" x14ac:dyDescent="0.3">
      <c r="A353" s="48" t="s">
        <v>56</v>
      </c>
      <c r="C353">
        <v>3000</v>
      </c>
      <c r="D353">
        <v>-8000</v>
      </c>
      <c r="E353">
        <v>7000</v>
      </c>
      <c r="F353">
        <v>-11000</v>
      </c>
      <c r="G353">
        <v>-11000</v>
      </c>
      <c r="H353">
        <v>-11000</v>
      </c>
      <c r="I353">
        <v>-11000</v>
      </c>
    </row>
    <row r="354" spans="1:9" x14ac:dyDescent="0.3">
      <c r="A354" s="48" t="s">
        <v>57</v>
      </c>
      <c r="C354">
        <v>4000</v>
      </c>
      <c r="D354">
        <v>-9000</v>
      </c>
      <c r="E354">
        <v>6000</v>
      </c>
      <c r="F354">
        <v>-12000</v>
      </c>
      <c r="G354">
        <v>-12000</v>
      </c>
      <c r="H354">
        <v>-12000</v>
      </c>
      <c r="I354">
        <v>-12000</v>
      </c>
    </row>
    <row r="355" spans="1:9" x14ac:dyDescent="0.3">
      <c r="A355" s="48" t="s">
        <v>58</v>
      </c>
      <c r="C355">
        <v>5000</v>
      </c>
      <c r="D355">
        <v>-10000</v>
      </c>
      <c r="E355">
        <v>5000</v>
      </c>
      <c r="F355">
        <v>-13000</v>
      </c>
      <c r="G355">
        <v>-13000</v>
      </c>
      <c r="H355">
        <v>-13000</v>
      </c>
      <c r="I355">
        <v>-13000</v>
      </c>
    </row>
    <row r="356" spans="1:9" x14ac:dyDescent="0.3">
      <c r="A356" s="15" t="s">
        <v>46</v>
      </c>
    </row>
    <row r="357" spans="1:9" x14ac:dyDescent="0.3">
      <c r="A357" s="48" t="s">
        <v>35</v>
      </c>
      <c r="C357">
        <v>-5000</v>
      </c>
      <c r="D357">
        <v>1000</v>
      </c>
      <c r="E357">
        <v>13000</v>
      </c>
      <c r="F357">
        <v>-5000</v>
      </c>
      <c r="G357">
        <v>-5000</v>
      </c>
      <c r="H357">
        <v>-5000</v>
      </c>
      <c r="I357">
        <v>-5000</v>
      </c>
    </row>
    <row r="358" spans="1:9" x14ac:dyDescent="0.3">
      <c r="A358" s="48" t="s">
        <v>41</v>
      </c>
      <c r="C358">
        <v>-4000</v>
      </c>
      <c r="D358">
        <v>0</v>
      </c>
      <c r="E358">
        <v>12000</v>
      </c>
      <c r="F358">
        <v>-6000</v>
      </c>
      <c r="G358">
        <v>-6000</v>
      </c>
      <c r="H358">
        <v>-6000</v>
      </c>
      <c r="I358">
        <v>-6000</v>
      </c>
    </row>
    <row r="359" spans="1:9" x14ac:dyDescent="0.3">
      <c r="A359" s="48" t="s">
        <v>42</v>
      </c>
      <c r="C359">
        <v>-3000</v>
      </c>
      <c r="D359">
        <v>-1000</v>
      </c>
      <c r="E359">
        <v>11000</v>
      </c>
      <c r="F359">
        <v>-7000</v>
      </c>
      <c r="G359">
        <v>-7000</v>
      </c>
      <c r="H359">
        <v>-7000</v>
      </c>
      <c r="I359">
        <v>-7000</v>
      </c>
    </row>
    <row r="360" spans="1:9" x14ac:dyDescent="0.3">
      <c r="A360" s="48" t="s">
        <v>43</v>
      </c>
      <c r="C360">
        <v>-2000</v>
      </c>
      <c r="D360">
        <v>-2000</v>
      </c>
      <c r="E360">
        <v>10000</v>
      </c>
      <c r="F360">
        <v>-8000</v>
      </c>
      <c r="G360">
        <v>-8000</v>
      </c>
      <c r="H360">
        <v>-8000</v>
      </c>
      <c r="I360">
        <v>-8000</v>
      </c>
    </row>
    <row r="361" spans="1:9" x14ac:dyDescent="0.3">
      <c r="A361" s="48" t="s">
        <v>44</v>
      </c>
      <c r="C361">
        <v>-1000</v>
      </c>
      <c r="D361">
        <v>-3000</v>
      </c>
      <c r="E361">
        <v>9000</v>
      </c>
      <c r="F361">
        <v>-9000</v>
      </c>
      <c r="G361">
        <v>-9000</v>
      </c>
      <c r="H361">
        <v>-9000</v>
      </c>
      <c r="I361">
        <v>-9000</v>
      </c>
    </row>
    <row r="362" spans="1:9" x14ac:dyDescent="0.3">
      <c r="A362" s="48" t="s">
        <v>54</v>
      </c>
      <c r="C362">
        <v>0</v>
      </c>
      <c r="D362">
        <v>-4000</v>
      </c>
      <c r="E362">
        <v>8000</v>
      </c>
      <c r="F362">
        <v>-10000</v>
      </c>
      <c r="G362">
        <v>-10000</v>
      </c>
      <c r="H362">
        <v>-10000</v>
      </c>
      <c r="I362">
        <v>-10000</v>
      </c>
    </row>
    <row r="363" spans="1:9" x14ac:dyDescent="0.3">
      <c r="A363" s="48" t="s">
        <v>55</v>
      </c>
      <c r="C363">
        <v>1000</v>
      </c>
      <c r="D363">
        <v>-5000</v>
      </c>
      <c r="E363">
        <v>7000</v>
      </c>
      <c r="F363">
        <v>-11000</v>
      </c>
      <c r="G363">
        <v>-11000</v>
      </c>
      <c r="H363">
        <v>-11000</v>
      </c>
      <c r="I363">
        <v>-11000</v>
      </c>
    </row>
    <row r="364" spans="1:9" x14ac:dyDescent="0.3">
      <c r="A364" s="48" t="s">
        <v>56</v>
      </c>
      <c r="C364">
        <v>2000</v>
      </c>
      <c r="D364">
        <v>-6000</v>
      </c>
      <c r="E364">
        <v>6000</v>
      </c>
      <c r="F364">
        <v>-12000</v>
      </c>
      <c r="G364">
        <v>-12000</v>
      </c>
      <c r="H364">
        <v>-12000</v>
      </c>
      <c r="I364">
        <v>-12000</v>
      </c>
    </row>
    <row r="365" spans="1:9" x14ac:dyDescent="0.3">
      <c r="A365" s="48" t="s">
        <v>57</v>
      </c>
      <c r="C365">
        <v>3000</v>
      </c>
      <c r="D365">
        <v>-7000</v>
      </c>
      <c r="E365">
        <v>5000</v>
      </c>
      <c r="F365">
        <v>-13000</v>
      </c>
      <c r="G365">
        <v>-13000</v>
      </c>
      <c r="H365">
        <v>-13000</v>
      </c>
      <c r="I365">
        <v>-13000</v>
      </c>
    </row>
    <row r="366" spans="1:9" x14ac:dyDescent="0.3">
      <c r="A366" s="48" t="s">
        <v>58</v>
      </c>
      <c r="C366">
        <v>4000</v>
      </c>
      <c r="D366">
        <v>-8000</v>
      </c>
      <c r="E366">
        <v>4000</v>
      </c>
      <c r="F366">
        <v>-14000</v>
      </c>
      <c r="G366">
        <v>-14000</v>
      </c>
      <c r="H366">
        <v>-14000</v>
      </c>
      <c r="I366">
        <v>-14000</v>
      </c>
    </row>
    <row r="367" spans="1:9" x14ac:dyDescent="0.3">
      <c r="A367" s="15" t="s">
        <v>47</v>
      </c>
    </row>
    <row r="368" spans="1:9" x14ac:dyDescent="0.3">
      <c r="A368" s="48" t="s">
        <v>35</v>
      </c>
      <c r="C368">
        <v>-6000</v>
      </c>
      <c r="D368">
        <v>3000</v>
      </c>
      <c r="E368">
        <v>12000</v>
      </c>
      <c r="F368">
        <v>-6000</v>
      </c>
      <c r="G368">
        <v>-6000</v>
      </c>
      <c r="H368">
        <v>-6000</v>
      </c>
      <c r="I368">
        <v>-6000</v>
      </c>
    </row>
    <row r="369" spans="1:9" x14ac:dyDescent="0.3">
      <c r="A369" s="48" t="s">
        <v>41</v>
      </c>
      <c r="C369">
        <v>-5000</v>
      </c>
      <c r="D369">
        <v>2000</v>
      </c>
      <c r="E369">
        <v>11000</v>
      </c>
      <c r="F369">
        <v>-7000</v>
      </c>
      <c r="G369">
        <v>-7000</v>
      </c>
      <c r="H369">
        <v>-7000</v>
      </c>
      <c r="I369">
        <v>-7000</v>
      </c>
    </row>
    <row r="370" spans="1:9" x14ac:dyDescent="0.3">
      <c r="A370" s="48" t="s">
        <v>42</v>
      </c>
      <c r="C370">
        <v>-4000</v>
      </c>
      <c r="D370">
        <v>1000</v>
      </c>
      <c r="E370">
        <v>10000</v>
      </c>
      <c r="F370">
        <v>-8000</v>
      </c>
      <c r="G370">
        <v>-8000</v>
      </c>
      <c r="H370">
        <v>-8000</v>
      </c>
      <c r="I370">
        <v>-8000</v>
      </c>
    </row>
    <row r="371" spans="1:9" x14ac:dyDescent="0.3">
      <c r="A371" s="48" t="s">
        <v>43</v>
      </c>
      <c r="C371">
        <v>-3000</v>
      </c>
      <c r="D371">
        <v>0</v>
      </c>
      <c r="E371">
        <v>9000</v>
      </c>
      <c r="F371">
        <v>-9000</v>
      </c>
      <c r="G371">
        <v>-9000</v>
      </c>
      <c r="H371">
        <v>-9000</v>
      </c>
      <c r="I371">
        <v>-9000</v>
      </c>
    </row>
    <row r="372" spans="1:9" x14ac:dyDescent="0.3">
      <c r="A372" s="48" t="s">
        <v>44</v>
      </c>
      <c r="C372">
        <v>-2000</v>
      </c>
      <c r="D372">
        <v>-1000</v>
      </c>
      <c r="E372">
        <v>8000</v>
      </c>
      <c r="F372">
        <v>-10000</v>
      </c>
      <c r="G372">
        <v>-10000</v>
      </c>
      <c r="H372">
        <v>-10000</v>
      </c>
      <c r="I372">
        <v>-10000</v>
      </c>
    </row>
    <row r="373" spans="1:9" x14ac:dyDescent="0.3">
      <c r="A373" s="48" t="s">
        <v>54</v>
      </c>
      <c r="C373">
        <v>-1000</v>
      </c>
      <c r="D373">
        <v>-2000</v>
      </c>
      <c r="E373">
        <v>7000</v>
      </c>
      <c r="F373">
        <v>-11000</v>
      </c>
      <c r="G373">
        <v>-11000</v>
      </c>
      <c r="H373">
        <v>-11000</v>
      </c>
      <c r="I373">
        <v>-11000</v>
      </c>
    </row>
    <row r="374" spans="1:9" x14ac:dyDescent="0.3">
      <c r="A374" s="48" t="s">
        <v>55</v>
      </c>
      <c r="C374">
        <v>0</v>
      </c>
      <c r="D374">
        <v>-3000</v>
      </c>
      <c r="E374">
        <v>6000</v>
      </c>
      <c r="F374">
        <v>-12000</v>
      </c>
      <c r="G374">
        <v>-12000</v>
      </c>
      <c r="H374">
        <v>-12000</v>
      </c>
      <c r="I374">
        <v>-12000</v>
      </c>
    </row>
    <row r="375" spans="1:9" x14ac:dyDescent="0.3">
      <c r="A375" s="48" t="s">
        <v>56</v>
      </c>
      <c r="C375">
        <v>1000</v>
      </c>
      <c r="D375">
        <v>-4000</v>
      </c>
      <c r="E375">
        <v>5000</v>
      </c>
      <c r="F375">
        <v>-13000</v>
      </c>
      <c r="G375">
        <v>-13000</v>
      </c>
      <c r="H375">
        <v>-13000</v>
      </c>
      <c r="I375">
        <v>-13000</v>
      </c>
    </row>
    <row r="376" spans="1:9" x14ac:dyDescent="0.3">
      <c r="A376" s="48" t="s">
        <v>57</v>
      </c>
      <c r="C376">
        <v>2000</v>
      </c>
      <c r="D376">
        <v>-5000</v>
      </c>
      <c r="E376">
        <v>4000</v>
      </c>
      <c r="F376">
        <v>-14000</v>
      </c>
      <c r="G376">
        <v>-14000</v>
      </c>
      <c r="H376">
        <v>-14000</v>
      </c>
      <c r="I376">
        <v>-14000</v>
      </c>
    </row>
    <row r="377" spans="1:9" x14ac:dyDescent="0.3">
      <c r="A377" s="48" t="s">
        <v>58</v>
      </c>
      <c r="C377">
        <v>3000</v>
      </c>
      <c r="D377">
        <v>-6000</v>
      </c>
      <c r="E377">
        <v>3000</v>
      </c>
      <c r="F377">
        <v>-15000</v>
      </c>
      <c r="G377">
        <v>-15000</v>
      </c>
      <c r="H377">
        <v>-15000</v>
      </c>
      <c r="I377">
        <v>-15000</v>
      </c>
    </row>
    <row r="378" spans="1:9" x14ac:dyDescent="0.3">
      <c r="A378" s="15" t="s">
        <v>48</v>
      </c>
    </row>
    <row r="379" spans="1:9" x14ac:dyDescent="0.3">
      <c r="A379" s="48" t="s">
        <v>35</v>
      </c>
      <c r="C379">
        <v>-7000</v>
      </c>
      <c r="D379">
        <v>5000</v>
      </c>
      <c r="E379">
        <v>11000</v>
      </c>
      <c r="F379">
        <v>-7000</v>
      </c>
      <c r="G379">
        <v>-7000</v>
      </c>
      <c r="H379">
        <v>-7000</v>
      </c>
      <c r="I379">
        <v>-7000</v>
      </c>
    </row>
    <row r="380" spans="1:9" x14ac:dyDescent="0.3">
      <c r="A380" s="48" t="s">
        <v>41</v>
      </c>
      <c r="C380">
        <v>-6000</v>
      </c>
      <c r="D380">
        <v>4000</v>
      </c>
      <c r="E380">
        <v>10000</v>
      </c>
      <c r="F380">
        <v>-8000</v>
      </c>
      <c r="G380">
        <v>-8000</v>
      </c>
      <c r="H380">
        <v>-8000</v>
      </c>
      <c r="I380">
        <v>-8000</v>
      </c>
    </row>
    <row r="381" spans="1:9" x14ac:dyDescent="0.3">
      <c r="A381" s="48" t="s">
        <v>42</v>
      </c>
      <c r="C381">
        <v>-5000</v>
      </c>
      <c r="D381">
        <v>3000</v>
      </c>
      <c r="E381">
        <v>9000</v>
      </c>
      <c r="F381">
        <v>-9000</v>
      </c>
      <c r="G381">
        <v>-9000</v>
      </c>
      <c r="H381">
        <v>-9000</v>
      </c>
      <c r="I381">
        <v>-9000</v>
      </c>
    </row>
    <row r="382" spans="1:9" x14ac:dyDescent="0.3">
      <c r="A382" s="48" t="s">
        <v>43</v>
      </c>
      <c r="C382">
        <v>-4000</v>
      </c>
      <c r="D382">
        <v>2000</v>
      </c>
      <c r="E382">
        <v>8000</v>
      </c>
      <c r="F382">
        <v>-10000</v>
      </c>
      <c r="G382">
        <v>-10000</v>
      </c>
      <c r="H382">
        <v>-10000</v>
      </c>
      <c r="I382">
        <v>-10000</v>
      </c>
    </row>
    <row r="383" spans="1:9" x14ac:dyDescent="0.3">
      <c r="A383" s="48" t="s">
        <v>44</v>
      </c>
      <c r="C383">
        <v>-3000</v>
      </c>
      <c r="D383">
        <v>1000</v>
      </c>
      <c r="E383">
        <v>7000</v>
      </c>
      <c r="F383">
        <v>-11000</v>
      </c>
      <c r="G383">
        <v>-11000</v>
      </c>
      <c r="H383">
        <v>-11000</v>
      </c>
      <c r="I383">
        <v>-11000</v>
      </c>
    </row>
    <row r="384" spans="1:9" x14ac:dyDescent="0.3">
      <c r="A384" s="48" t="s">
        <v>54</v>
      </c>
      <c r="C384">
        <v>-2000</v>
      </c>
      <c r="D384">
        <v>0</v>
      </c>
      <c r="E384">
        <v>6000</v>
      </c>
      <c r="F384">
        <v>-12000</v>
      </c>
      <c r="G384">
        <v>-12000</v>
      </c>
      <c r="H384">
        <v>-12000</v>
      </c>
      <c r="I384">
        <v>-12000</v>
      </c>
    </row>
    <row r="385" spans="1:9" x14ac:dyDescent="0.3">
      <c r="A385" s="48" t="s">
        <v>55</v>
      </c>
      <c r="C385">
        <v>-1000</v>
      </c>
      <c r="D385">
        <v>-1000</v>
      </c>
      <c r="E385">
        <v>5000</v>
      </c>
      <c r="F385">
        <v>-13000</v>
      </c>
      <c r="G385">
        <v>-13000</v>
      </c>
      <c r="H385">
        <v>-13000</v>
      </c>
      <c r="I385">
        <v>-13000</v>
      </c>
    </row>
    <row r="386" spans="1:9" x14ac:dyDescent="0.3">
      <c r="A386" s="48" t="s">
        <v>56</v>
      </c>
      <c r="C386">
        <v>0</v>
      </c>
      <c r="D386">
        <v>-2000</v>
      </c>
      <c r="E386">
        <v>4000</v>
      </c>
      <c r="F386">
        <v>-14000</v>
      </c>
      <c r="G386">
        <v>-14000</v>
      </c>
      <c r="H386">
        <v>-14000</v>
      </c>
      <c r="I386">
        <v>-14000</v>
      </c>
    </row>
    <row r="387" spans="1:9" x14ac:dyDescent="0.3">
      <c r="A387" s="48" t="s">
        <v>57</v>
      </c>
      <c r="C387">
        <v>1000</v>
      </c>
      <c r="D387">
        <v>-3000</v>
      </c>
      <c r="E387">
        <v>3000</v>
      </c>
      <c r="F387">
        <v>-15000</v>
      </c>
      <c r="G387">
        <v>-15000</v>
      </c>
      <c r="H387">
        <v>-15000</v>
      </c>
      <c r="I387">
        <v>-15000</v>
      </c>
    </row>
    <row r="388" spans="1:9" x14ac:dyDescent="0.3">
      <c r="A388" s="48" t="s">
        <v>58</v>
      </c>
      <c r="C388">
        <v>2000</v>
      </c>
      <c r="D388">
        <v>-4000</v>
      </c>
      <c r="E388">
        <v>2000</v>
      </c>
      <c r="F388">
        <v>-16000</v>
      </c>
      <c r="G388">
        <v>-16000</v>
      </c>
      <c r="H388">
        <v>-16000</v>
      </c>
      <c r="I388">
        <v>-16000</v>
      </c>
    </row>
    <row r="389" spans="1:9" x14ac:dyDescent="0.3">
      <c r="A389" s="15" t="s">
        <v>59</v>
      </c>
    </row>
    <row r="390" spans="1:9" x14ac:dyDescent="0.3">
      <c r="A390" s="48" t="s">
        <v>35</v>
      </c>
      <c r="C390">
        <v>-8000</v>
      </c>
      <c r="D390">
        <v>7000</v>
      </c>
      <c r="E390">
        <v>10000</v>
      </c>
      <c r="F390">
        <v>-8000</v>
      </c>
      <c r="G390">
        <v>-8000</v>
      </c>
      <c r="H390">
        <v>-8000</v>
      </c>
      <c r="I390">
        <v>-8000</v>
      </c>
    </row>
    <row r="391" spans="1:9" x14ac:dyDescent="0.3">
      <c r="A391" s="48" t="s">
        <v>41</v>
      </c>
      <c r="C391">
        <v>-7000</v>
      </c>
      <c r="D391">
        <v>6000</v>
      </c>
      <c r="E391">
        <v>9000</v>
      </c>
      <c r="F391">
        <v>-9000</v>
      </c>
      <c r="G391">
        <v>-9000</v>
      </c>
      <c r="H391">
        <v>-9000</v>
      </c>
      <c r="I391">
        <v>-9000</v>
      </c>
    </row>
    <row r="392" spans="1:9" x14ac:dyDescent="0.3">
      <c r="A392" s="48" t="s">
        <v>42</v>
      </c>
      <c r="C392">
        <v>-6000</v>
      </c>
      <c r="D392">
        <v>5000</v>
      </c>
      <c r="E392">
        <v>8000</v>
      </c>
      <c r="F392">
        <v>-10000</v>
      </c>
      <c r="G392">
        <v>-10000</v>
      </c>
      <c r="H392">
        <v>-10000</v>
      </c>
      <c r="I392">
        <v>-10000</v>
      </c>
    </row>
    <row r="393" spans="1:9" x14ac:dyDescent="0.3">
      <c r="A393" s="48" t="s">
        <v>43</v>
      </c>
      <c r="C393">
        <v>-5000</v>
      </c>
      <c r="D393">
        <v>4000</v>
      </c>
      <c r="E393">
        <v>7000</v>
      </c>
      <c r="F393">
        <v>-11000</v>
      </c>
      <c r="G393">
        <v>-11000</v>
      </c>
      <c r="H393">
        <v>-11000</v>
      </c>
      <c r="I393">
        <v>-11000</v>
      </c>
    </row>
    <row r="394" spans="1:9" x14ac:dyDescent="0.3">
      <c r="A394" s="48" t="s">
        <v>44</v>
      </c>
      <c r="C394">
        <v>-4000</v>
      </c>
      <c r="D394">
        <v>3000</v>
      </c>
      <c r="E394">
        <v>6000</v>
      </c>
      <c r="F394">
        <v>-12000</v>
      </c>
      <c r="G394">
        <v>-12000</v>
      </c>
      <c r="H394">
        <v>-12000</v>
      </c>
      <c r="I394">
        <v>-12000</v>
      </c>
    </row>
    <row r="395" spans="1:9" x14ac:dyDescent="0.3">
      <c r="A395" s="48" t="s">
        <v>54</v>
      </c>
      <c r="C395">
        <v>-3000</v>
      </c>
      <c r="D395">
        <v>2000</v>
      </c>
      <c r="E395">
        <v>5000</v>
      </c>
      <c r="F395">
        <v>-13000</v>
      </c>
      <c r="G395">
        <v>-13000</v>
      </c>
      <c r="H395">
        <v>-13000</v>
      </c>
      <c r="I395">
        <v>-13000</v>
      </c>
    </row>
    <row r="396" spans="1:9" x14ac:dyDescent="0.3">
      <c r="A396" s="48" t="s">
        <v>55</v>
      </c>
      <c r="C396">
        <v>-2000</v>
      </c>
      <c r="D396">
        <v>1000</v>
      </c>
      <c r="E396">
        <v>4000</v>
      </c>
      <c r="F396">
        <v>-14000</v>
      </c>
      <c r="G396">
        <v>-14000</v>
      </c>
      <c r="H396">
        <v>-14000</v>
      </c>
      <c r="I396">
        <v>-14000</v>
      </c>
    </row>
    <row r="397" spans="1:9" x14ac:dyDescent="0.3">
      <c r="A397" s="48" t="s">
        <v>56</v>
      </c>
      <c r="C397">
        <v>-1000</v>
      </c>
      <c r="D397">
        <v>0</v>
      </c>
      <c r="E397">
        <v>3000</v>
      </c>
      <c r="F397">
        <v>-15000</v>
      </c>
      <c r="G397">
        <v>-15000</v>
      </c>
      <c r="H397">
        <v>-15000</v>
      </c>
      <c r="I397">
        <v>-15000</v>
      </c>
    </row>
    <row r="398" spans="1:9" x14ac:dyDescent="0.3">
      <c r="A398" s="48" t="s">
        <v>57</v>
      </c>
      <c r="C398">
        <v>0</v>
      </c>
      <c r="D398">
        <v>-1000</v>
      </c>
      <c r="E398">
        <v>2000</v>
      </c>
      <c r="F398">
        <v>-16000</v>
      </c>
      <c r="G398">
        <v>-16000</v>
      </c>
      <c r="H398">
        <v>-16000</v>
      </c>
      <c r="I398">
        <v>-16000</v>
      </c>
    </row>
    <row r="399" spans="1:9" x14ac:dyDescent="0.3">
      <c r="A399" s="48" t="s">
        <v>58</v>
      </c>
      <c r="C399">
        <v>1000</v>
      </c>
      <c r="D399">
        <v>-2000</v>
      </c>
      <c r="E399">
        <v>1000</v>
      </c>
      <c r="F399">
        <v>-17000</v>
      </c>
      <c r="G399">
        <v>-17000</v>
      </c>
      <c r="H399">
        <v>-17000</v>
      </c>
      <c r="I399">
        <v>-17000</v>
      </c>
    </row>
    <row r="400" spans="1:9" x14ac:dyDescent="0.3">
      <c r="A400" s="15" t="s">
        <v>60</v>
      </c>
    </row>
    <row r="401" spans="1:9" x14ac:dyDescent="0.3">
      <c r="A401" s="48" t="s">
        <v>35</v>
      </c>
      <c r="C401">
        <v>-9000</v>
      </c>
      <c r="D401">
        <v>9000</v>
      </c>
      <c r="E401">
        <v>9000</v>
      </c>
      <c r="F401">
        <v>-9000</v>
      </c>
      <c r="G401">
        <v>-9000</v>
      </c>
      <c r="H401">
        <v>-9000</v>
      </c>
      <c r="I401">
        <v>-9000</v>
      </c>
    </row>
    <row r="402" spans="1:9" x14ac:dyDescent="0.3">
      <c r="A402" s="48" t="s">
        <v>41</v>
      </c>
      <c r="C402">
        <v>-8000</v>
      </c>
      <c r="D402">
        <v>8000</v>
      </c>
      <c r="E402">
        <v>8000</v>
      </c>
      <c r="F402">
        <v>-10000</v>
      </c>
      <c r="G402">
        <v>-10000</v>
      </c>
      <c r="H402">
        <v>-10000</v>
      </c>
      <c r="I402">
        <v>-10000</v>
      </c>
    </row>
    <row r="403" spans="1:9" x14ac:dyDescent="0.3">
      <c r="A403" s="48" t="s">
        <v>42</v>
      </c>
      <c r="C403">
        <v>-7000</v>
      </c>
      <c r="D403">
        <v>7000</v>
      </c>
      <c r="E403">
        <v>7000</v>
      </c>
      <c r="F403">
        <v>-11000</v>
      </c>
      <c r="G403">
        <v>-11000</v>
      </c>
      <c r="H403">
        <v>-11000</v>
      </c>
      <c r="I403">
        <v>-11000</v>
      </c>
    </row>
    <row r="404" spans="1:9" x14ac:dyDescent="0.3">
      <c r="A404" s="48" t="s">
        <v>43</v>
      </c>
      <c r="C404">
        <v>-6000</v>
      </c>
      <c r="D404">
        <v>6000</v>
      </c>
      <c r="E404">
        <v>6000</v>
      </c>
      <c r="F404">
        <v>-12000</v>
      </c>
      <c r="G404">
        <v>-12000</v>
      </c>
      <c r="H404">
        <v>-12000</v>
      </c>
      <c r="I404">
        <v>-12000</v>
      </c>
    </row>
    <row r="405" spans="1:9" x14ac:dyDescent="0.3">
      <c r="A405" s="48" t="s">
        <v>44</v>
      </c>
      <c r="C405">
        <v>-5000</v>
      </c>
      <c r="D405">
        <v>5000</v>
      </c>
      <c r="E405">
        <v>5000</v>
      </c>
      <c r="F405">
        <v>-13000</v>
      </c>
      <c r="G405">
        <v>-13000</v>
      </c>
      <c r="H405">
        <v>-13000</v>
      </c>
      <c r="I405">
        <v>-13000</v>
      </c>
    </row>
    <row r="406" spans="1:9" x14ac:dyDescent="0.3">
      <c r="A406" s="48" t="s">
        <v>54</v>
      </c>
      <c r="C406">
        <v>-4000</v>
      </c>
      <c r="D406">
        <v>4000</v>
      </c>
      <c r="E406">
        <v>4000</v>
      </c>
      <c r="F406">
        <v>-14000</v>
      </c>
      <c r="G406">
        <v>-14000</v>
      </c>
      <c r="H406">
        <v>-14000</v>
      </c>
      <c r="I406">
        <v>-14000</v>
      </c>
    </row>
    <row r="407" spans="1:9" x14ac:dyDescent="0.3">
      <c r="A407" s="48" t="s">
        <v>55</v>
      </c>
      <c r="C407">
        <v>-3000</v>
      </c>
      <c r="D407">
        <v>3000</v>
      </c>
      <c r="E407">
        <v>3000</v>
      </c>
      <c r="F407">
        <v>-15000</v>
      </c>
      <c r="G407">
        <v>-15000</v>
      </c>
      <c r="H407">
        <v>-15000</v>
      </c>
      <c r="I407">
        <v>-15000</v>
      </c>
    </row>
    <row r="408" spans="1:9" x14ac:dyDescent="0.3">
      <c r="A408" s="48" t="s">
        <v>56</v>
      </c>
      <c r="C408">
        <v>-2000</v>
      </c>
      <c r="D408">
        <v>2000</v>
      </c>
      <c r="E408">
        <v>2000</v>
      </c>
      <c r="F408">
        <v>-16000</v>
      </c>
      <c r="G408">
        <v>-16000</v>
      </c>
      <c r="H408">
        <v>-16000</v>
      </c>
      <c r="I408">
        <v>-16000</v>
      </c>
    </row>
    <row r="409" spans="1:9" x14ac:dyDescent="0.3">
      <c r="A409" s="48" t="s">
        <v>57</v>
      </c>
      <c r="C409">
        <v>-1000</v>
      </c>
      <c r="D409">
        <v>1000</v>
      </c>
      <c r="E409">
        <v>1000</v>
      </c>
      <c r="F409">
        <v>-17000</v>
      </c>
      <c r="G409">
        <v>-17000</v>
      </c>
      <c r="H409">
        <v>-17000</v>
      </c>
      <c r="I409">
        <v>-17000</v>
      </c>
    </row>
    <row r="410" spans="1:9" x14ac:dyDescent="0.3">
      <c r="A410" s="48" t="s">
        <v>58</v>
      </c>
      <c r="C410">
        <v>0</v>
      </c>
      <c r="D410">
        <v>0</v>
      </c>
      <c r="E410">
        <v>0</v>
      </c>
      <c r="F410">
        <v>-18000</v>
      </c>
      <c r="G410">
        <v>-18000</v>
      </c>
      <c r="H410">
        <v>-18000</v>
      </c>
      <c r="I410">
        <v>-18000</v>
      </c>
    </row>
    <row r="411" spans="1:9" x14ac:dyDescent="0.3">
      <c r="A411" s="15" t="s">
        <v>61</v>
      </c>
    </row>
    <row r="412" spans="1:9" x14ac:dyDescent="0.3">
      <c r="A412" s="48" t="s">
        <v>35</v>
      </c>
      <c r="C412">
        <v>-10000</v>
      </c>
      <c r="D412">
        <v>11000</v>
      </c>
      <c r="E412">
        <v>8000</v>
      </c>
      <c r="F412">
        <v>-10000</v>
      </c>
      <c r="G412">
        <v>-10000</v>
      </c>
      <c r="H412">
        <v>-10000</v>
      </c>
      <c r="I412">
        <v>-10000</v>
      </c>
    </row>
    <row r="413" spans="1:9" x14ac:dyDescent="0.3">
      <c r="A413" s="48" t="s">
        <v>41</v>
      </c>
      <c r="C413">
        <v>-9000</v>
      </c>
      <c r="D413">
        <v>10000</v>
      </c>
      <c r="E413">
        <v>7000</v>
      </c>
      <c r="F413">
        <v>-11000</v>
      </c>
      <c r="G413">
        <v>-11000</v>
      </c>
      <c r="H413">
        <v>-11000</v>
      </c>
      <c r="I413">
        <v>-11000</v>
      </c>
    </row>
    <row r="414" spans="1:9" x14ac:dyDescent="0.3">
      <c r="A414" s="48" t="s">
        <v>42</v>
      </c>
      <c r="C414">
        <v>-8000</v>
      </c>
      <c r="D414">
        <v>9000</v>
      </c>
      <c r="E414">
        <v>6000</v>
      </c>
      <c r="F414">
        <v>-12000</v>
      </c>
      <c r="G414">
        <v>-12000</v>
      </c>
      <c r="H414">
        <v>-12000</v>
      </c>
      <c r="I414">
        <v>-12000</v>
      </c>
    </row>
    <row r="415" spans="1:9" x14ac:dyDescent="0.3">
      <c r="A415" s="48" t="s">
        <v>43</v>
      </c>
      <c r="C415">
        <v>-7000</v>
      </c>
      <c r="D415">
        <v>8000</v>
      </c>
      <c r="E415">
        <v>5000</v>
      </c>
      <c r="F415">
        <v>-13000</v>
      </c>
      <c r="G415">
        <v>-13000</v>
      </c>
      <c r="H415">
        <v>-13000</v>
      </c>
      <c r="I415">
        <v>-13000</v>
      </c>
    </row>
    <row r="416" spans="1:9" x14ac:dyDescent="0.3">
      <c r="A416" s="48" t="s">
        <v>44</v>
      </c>
      <c r="C416">
        <v>-6000</v>
      </c>
      <c r="D416">
        <v>7000</v>
      </c>
      <c r="E416">
        <v>4000</v>
      </c>
      <c r="F416">
        <v>-14000</v>
      </c>
      <c r="G416">
        <v>-14000</v>
      </c>
      <c r="H416">
        <v>-14000</v>
      </c>
      <c r="I416">
        <v>-14000</v>
      </c>
    </row>
    <row r="417" spans="1:9" x14ac:dyDescent="0.3">
      <c r="A417" s="48" t="s">
        <v>54</v>
      </c>
      <c r="C417">
        <v>-5000</v>
      </c>
      <c r="D417">
        <v>6000</v>
      </c>
      <c r="E417">
        <v>3000</v>
      </c>
      <c r="F417">
        <v>-15000</v>
      </c>
      <c r="G417">
        <v>-15000</v>
      </c>
      <c r="H417">
        <v>-15000</v>
      </c>
      <c r="I417">
        <v>-15000</v>
      </c>
    </row>
    <row r="418" spans="1:9" x14ac:dyDescent="0.3">
      <c r="A418" s="48" t="s">
        <v>55</v>
      </c>
      <c r="C418">
        <v>-4000</v>
      </c>
      <c r="D418">
        <v>5000</v>
      </c>
      <c r="E418">
        <v>2000</v>
      </c>
      <c r="F418">
        <v>-16000</v>
      </c>
      <c r="G418">
        <v>-16000</v>
      </c>
      <c r="H418">
        <v>-16000</v>
      </c>
      <c r="I418">
        <v>-16000</v>
      </c>
    </row>
    <row r="419" spans="1:9" x14ac:dyDescent="0.3">
      <c r="A419" s="48" t="s">
        <v>56</v>
      </c>
      <c r="C419">
        <v>-3000</v>
      </c>
      <c r="D419">
        <v>4000</v>
      </c>
      <c r="E419">
        <v>1000</v>
      </c>
      <c r="F419">
        <v>-17000</v>
      </c>
      <c r="G419">
        <v>-17000</v>
      </c>
      <c r="H419">
        <v>-17000</v>
      </c>
      <c r="I419">
        <v>-17000</v>
      </c>
    </row>
    <row r="420" spans="1:9" x14ac:dyDescent="0.3">
      <c r="A420" s="48" t="s">
        <v>57</v>
      </c>
      <c r="C420">
        <v>-2000</v>
      </c>
      <c r="D420">
        <v>3000</v>
      </c>
      <c r="E420">
        <v>0</v>
      </c>
      <c r="F420">
        <v>-18000</v>
      </c>
      <c r="G420">
        <v>-18000</v>
      </c>
      <c r="H420">
        <v>-18000</v>
      </c>
      <c r="I420">
        <v>-18000</v>
      </c>
    </row>
    <row r="421" spans="1:9" x14ac:dyDescent="0.3">
      <c r="A421" s="48" t="s">
        <v>58</v>
      </c>
      <c r="C421">
        <v>-1000</v>
      </c>
      <c r="D421">
        <v>2000</v>
      </c>
      <c r="E421">
        <v>-1000</v>
      </c>
      <c r="F421">
        <v>-19000</v>
      </c>
      <c r="G421">
        <v>-19000</v>
      </c>
      <c r="H421">
        <v>-19000</v>
      </c>
      <c r="I421">
        <v>-19000</v>
      </c>
    </row>
    <row r="422" spans="1:9" x14ac:dyDescent="0.3">
      <c r="A422" s="15" t="s">
        <v>62</v>
      </c>
    </row>
    <row r="423" spans="1:9" x14ac:dyDescent="0.3">
      <c r="A423" s="49" t="s">
        <v>35</v>
      </c>
      <c r="C423">
        <v>-11000</v>
      </c>
      <c r="D423">
        <v>13000</v>
      </c>
      <c r="E423">
        <v>7000</v>
      </c>
      <c r="F423">
        <v>-11000</v>
      </c>
      <c r="G423">
        <v>-11000</v>
      </c>
      <c r="H423">
        <v>-11000</v>
      </c>
      <c r="I423">
        <v>-11000</v>
      </c>
    </row>
    <row r="424" spans="1:9" x14ac:dyDescent="0.3">
      <c r="A424" s="49" t="s">
        <v>41</v>
      </c>
      <c r="C424">
        <v>-10000</v>
      </c>
      <c r="D424">
        <v>12000</v>
      </c>
      <c r="E424">
        <v>6000</v>
      </c>
      <c r="F424">
        <v>-12000</v>
      </c>
      <c r="G424">
        <v>-12000</v>
      </c>
      <c r="H424">
        <v>-12000</v>
      </c>
      <c r="I424">
        <v>-12000</v>
      </c>
    </row>
    <row r="425" spans="1:9" x14ac:dyDescent="0.3">
      <c r="A425" s="49" t="s">
        <v>42</v>
      </c>
      <c r="C425">
        <v>-9000</v>
      </c>
      <c r="D425">
        <v>11000</v>
      </c>
      <c r="E425">
        <v>5000</v>
      </c>
      <c r="F425">
        <v>-13000</v>
      </c>
      <c r="G425">
        <v>-13000</v>
      </c>
      <c r="H425">
        <v>-13000</v>
      </c>
      <c r="I425">
        <v>-13000</v>
      </c>
    </row>
    <row r="426" spans="1:9" x14ac:dyDescent="0.3">
      <c r="A426" s="49" t="s">
        <v>43</v>
      </c>
      <c r="C426">
        <v>-8000</v>
      </c>
      <c r="D426">
        <v>10000</v>
      </c>
      <c r="E426">
        <v>4000</v>
      </c>
      <c r="F426">
        <v>-14000</v>
      </c>
      <c r="G426">
        <v>-14000</v>
      </c>
      <c r="H426">
        <v>-14000</v>
      </c>
      <c r="I426">
        <v>-14000</v>
      </c>
    </row>
    <row r="427" spans="1:9" x14ac:dyDescent="0.3">
      <c r="A427" s="49" t="s">
        <v>44</v>
      </c>
      <c r="C427">
        <v>-7000</v>
      </c>
      <c r="D427">
        <v>9000</v>
      </c>
      <c r="E427">
        <v>3000</v>
      </c>
      <c r="F427">
        <v>-15000</v>
      </c>
      <c r="G427">
        <v>-15000</v>
      </c>
      <c r="H427">
        <v>-15000</v>
      </c>
      <c r="I427">
        <v>-15000</v>
      </c>
    </row>
    <row r="428" spans="1:9" x14ac:dyDescent="0.3">
      <c r="A428" s="49" t="s">
        <v>54</v>
      </c>
      <c r="C428">
        <v>-6000</v>
      </c>
      <c r="D428">
        <v>8000</v>
      </c>
      <c r="E428">
        <v>2000</v>
      </c>
      <c r="F428">
        <v>-16000</v>
      </c>
      <c r="G428">
        <v>-16000</v>
      </c>
      <c r="H428">
        <v>-16000</v>
      </c>
      <c r="I428">
        <v>-16000</v>
      </c>
    </row>
    <row r="429" spans="1:9" x14ac:dyDescent="0.3">
      <c r="A429" s="49" t="s">
        <v>55</v>
      </c>
      <c r="C429">
        <v>-5000</v>
      </c>
      <c r="D429">
        <v>7000</v>
      </c>
      <c r="E429">
        <v>1000</v>
      </c>
      <c r="F429">
        <v>-17000</v>
      </c>
      <c r="G429">
        <v>-17000</v>
      </c>
      <c r="H429">
        <v>-17000</v>
      </c>
      <c r="I429">
        <v>-17000</v>
      </c>
    </row>
    <row r="430" spans="1:9" x14ac:dyDescent="0.3">
      <c r="A430" s="49" t="s">
        <v>56</v>
      </c>
      <c r="C430">
        <v>-4000</v>
      </c>
      <c r="D430">
        <v>6000</v>
      </c>
      <c r="E430">
        <v>0</v>
      </c>
      <c r="F430">
        <v>-18000</v>
      </c>
      <c r="G430">
        <v>-18000</v>
      </c>
      <c r="H430">
        <v>-18000</v>
      </c>
      <c r="I430">
        <v>-18000</v>
      </c>
    </row>
    <row r="431" spans="1:9" x14ac:dyDescent="0.3">
      <c r="A431" s="48" t="s">
        <v>57</v>
      </c>
      <c r="C431">
        <v>-3000</v>
      </c>
      <c r="D431">
        <v>5000</v>
      </c>
      <c r="E431">
        <v>-1000</v>
      </c>
      <c r="F431">
        <v>-19000</v>
      </c>
      <c r="G431">
        <v>-19000</v>
      </c>
      <c r="H431">
        <v>-19000</v>
      </c>
      <c r="I431">
        <v>-19000</v>
      </c>
    </row>
    <row r="432" spans="1:9" x14ac:dyDescent="0.3">
      <c r="A432" s="48" t="s">
        <v>58</v>
      </c>
      <c r="C432">
        <v>-2000</v>
      </c>
      <c r="D432">
        <v>4000</v>
      </c>
      <c r="E432">
        <v>-2000</v>
      </c>
      <c r="F432">
        <v>-20000</v>
      </c>
      <c r="G432">
        <v>-20000</v>
      </c>
      <c r="H432">
        <v>-20000</v>
      </c>
      <c r="I432">
        <v>-20000</v>
      </c>
    </row>
    <row r="433" spans="1:9" x14ac:dyDescent="0.3">
      <c r="A433" s="15" t="s">
        <v>63</v>
      </c>
    </row>
    <row r="434" spans="1:9" x14ac:dyDescent="0.3">
      <c r="A434" s="49" t="s">
        <v>35</v>
      </c>
      <c r="C434">
        <v>-12000</v>
      </c>
      <c r="D434">
        <v>15000</v>
      </c>
      <c r="E434">
        <v>6000</v>
      </c>
      <c r="F434">
        <v>-12000</v>
      </c>
      <c r="G434">
        <v>-12000</v>
      </c>
      <c r="H434">
        <v>-12000</v>
      </c>
      <c r="I434">
        <v>-12000</v>
      </c>
    </row>
    <row r="435" spans="1:9" x14ac:dyDescent="0.3">
      <c r="A435" s="49" t="s">
        <v>41</v>
      </c>
      <c r="C435">
        <v>-11000</v>
      </c>
      <c r="D435">
        <v>14000</v>
      </c>
      <c r="E435">
        <v>5000</v>
      </c>
      <c r="F435">
        <v>-13000</v>
      </c>
      <c r="G435">
        <v>-13000</v>
      </c>
      <c r="H435">
        <v>-13000</v>
      </c>
      <c r="I435">
        <v>-13000</v>
      </c>
    </row>
    <row r="436" spans="1:9" x14ac:dyDescent="0.3">
      <c r="A436" s="49" t="s">
        <v>42</v>
      </c>
      <c r="C436">
        <v>-10000</v>
      </c>
      <c r="D436">
        <v>13000</v>
      </c>
      <c r="E436">
        <v>4000</v>
      </c>
      <c r="F436">
        <v>-14000</v>
      </c>
      <c r="G436">
        <v>-14000</v>
      </c>
      <c r="H436">
        <v>-14000</v>
      </c>
      <c r="I436">
        <v>-14000</v>
      </c>
    </row>
    <row r="437" spans="1:9" x14ac:dyDescent="0.3">
      <c r="A437" s="49" t="s">
        <v>43</v>
      </c>
      <c r="C437">
        <v>-9000</v>
      </c>
      <c r="D437">
        <v>12000</v>
      </c>
      <c r="E437">
        <v>3000</v>
      </c>
      <c r="F437">
        <v>-15000</v>
      </c>
      <c r="G437">
        <v>-15000</v>
      </c>
      <c r="H437">
        <v>-15000</v>
      </c>
      <c r="I437">
        <v>-15000</v>
      </c>
    </row>
    <row r="438" spans="1:9" x14ac:dyDescent="0.3">
      <c r="A438" s="49" t="s">
        <v>44</v>
      </c>
      <c r="C438">
        <v>-8000</v>
      </c>
      <c r="D438">
        <v>11000</v>
      </c>
      <c r="E438">
        <v>2000</v>
      </c>
      <c r="F438">
        <v>-16000</v>
      </c>
      <c r="G438">
        <v>-16000</v>
      </c>
      <c r="H438">
        <v>-16000</v>
      </c>
      <c r="I438">
        <v>-16000</v>
      </c>
    </row>
    <row r="439" spans="1:9" x14ac:dyDescent="0.3">
      <c r="A439" s="49" t="s">
        <v>54</v>
      </c>
      <c r="C439">
        <v>-7000</v>
      </c>
      <c r="D439">
        <v>10000</v>
      </c>
      <c r="E439">
        <v>1000</v>
      </c>
      <c r="F439">
        <v>-17000</v>
      </c>
      <c r="G439">
        <v>-17000</v>
      </c>
      <c r="H439">
        <v>-17000</v>
      </c>
      <c r="I439">
        <v>-17000</v>
      </c>
    </row>
    <row r="440" spans="1:9" x14ac:dyDescent="0.3">
      <c r="A440" s="49" t="s">
        <v>55</v>
      </c>
      <c r="C440">
        <v>-6000</v>
      </c>
      <c r="D440">
        <v>9000</v>
      </c>
      <c r="E440">
        <v>0</v>
      </c>
      <c r="F440">
        <v>-18000</v>
      </c>
      <c r="G440">
        <v>-18000</v>
      </c>
      <c r="H440">
        <v>-18000</v>
      </c>
      <c r="I440">
        <v>-18000</v>
      </c>
    </row>
    <row r="441" spans="1:9" x14ac:dyDescent="0.3">
      <c r="A441" s="48" t="s">
        <v>56</v>
      </c>
      <c r="C441">
        <v>-5000</v>
      </c>
      <c r="D441">
        <v>8000</v>
      </c>
      <c r="E441">
        <v>-1000</v>
      </c>
      <c r="F441">
        <v>-19000</v>
      </c>
      <c r="G441">
        <v>-19000</v>
      </c>
      <c r="H441">
        <v>-19000</v>
      </c>
      <c r="I441">
        <v>-19000</v>
      </c>
    </row>
    <row r="442" spans="1:9" x14ac:dyDescent="0.3">
      <c r="A442" s="48" t="s">
        <v>57</v>
      </c>
      <c r="C442">
        <v>-4000</v>
      </c>
      <c r="D442">
        <v>7000</v>
      </c>
      <c r="E442">
        <v>-2000</v>
      </c>
      <c r="F442">
        <v>-20000</v>
      </c>
      <c r="G442">
        <v>-20000</v>
      </c>
      <c r="H442">
        <v>-20000</v>
      </c>
      <c r="I442">
        <v>-20000</v>
      </c>
    </row>
    <row r="443" spans="1:9" x14ac:dyDescent="0.3">
      <c r="A443" s="48" t="s">
        <v>58</v>
      </c>
      <c r="C443">
        <v>-3000</v>
      </c>
      <c r="D443">
        <v>6000</v>
      </c>
      <c r="E443">
        <v>-3000</v>
      </c>
      <c r="F443">
        <v>-21000</v>
      </c>
      <c r="G443">
        <v>-21000</v>
      </c>
      <c r="H443">
        <v>-21000</v>
      </c>
      <c r="I443">
        <v>-21000</v>
      </c>
    </row>
    <row r="444" spans="1:9" x14ac:dyDescent="0.3">
      <c r="A444" s="14" t="s">
        <v>52</v>
      </c>
    </row>
    <row r="445" spans="1:9" x14ac:dyDescent="0.3">
      <c r="A445" s="15" t="s">
        <v>34</v>
      </c>
    </row>
    <row r="446" spans="1:9" x14ac:dyDescent="0.3">
      <c r="A446" s="48" t="s">
        <v>35</v>
      </c>
      <c r="C446">
        <v>-4000</v>
      </c>
      <c r="D446">
        <v>-4000</v>
      </c>
      <c r="E446">
        <v>20000</v>
      </c>
      <c r="F446">
        <v>-4000</v>
      </c>
      <c r="G446">
        <v>-4000</v>
      </c>
      <c r="H446">
        <v>-4000</v>
      </c>
      <c r="I446">
        <v>-4000</v>
      </c>
    </row>
    <row r="447" spans="1:9" x14ac:dyDescent="0.3">
      <c r="A447" s="48" t="s">
        <v>41</v>
      </c>
      <c r="C447">
        <v>-3000</v>
      </c>
      <c r="D447">
        <v>-5000</v>
      </c>
      <c r="E447">
        <v>19000</v>
      </c>
      <c r="F447">
        <v>-5000</v>
      </c>
      <c r="G447">
        <v>-5000</v>
      </c>
      <c r="H447">
        <v>-5000</v>
      </c>
      <c r="I447">
        <v>-5000</v>
      </c>
    </row>
    <row r="448" spans="1:9" x14ac:dyDescent="0.3">
      <c r="A448" s="48" t="s">
        <v>42</v>
      </c>
      <c r="C448">
        <v>-2000</v>
      </c>
      <c r="D448">
        <v>-6000</v>
      </c>
      <c r="E448">
        <v>18000</v>
      </c>
      <c r="F448">
        <v>-6000</v>
      </c>
      <c r="G448">
        <v>-6000</v>
      </c>
      <c r="H448">
        <v>-6000</v>
      </c>
      <c r="I448">
        <v>-6000</v>
      </c>
    </row>
    <row r="449" spans="1:9" x14ac:dyDescent="0.3">
      <c r="A449" s="48" t="s">
        <v>43</v>
      </c>
      <c r="C449">
        <v>-1000</v>
      </c>
      <c r="D449">
        <v>-7000</v>
      </c>
      <c r="E449">
        <v>17000</v>
      </c>
      <c r="F449">
        <v>-7000</v>
      </c>
      <c r="G449">
        <v>-7000</v>
      </c>
      <c r="H449">
        <v>-7000</v>
      </c>
      <c r="I449">
        <v>-7000</v>
      </c>
    </row>
    <row r="450" spans="1:9" x14ac:dyDescent="0.3">
      <c r="A450" s="48" t="s">
        <v>44</v>
      </c>
      <c r="C450">
        <v>0</v>
      </c>
      <c r="D450">
        <v>-8000</v>
      </c>
      <c r="E450">
        <v>16000</v>
      </c>
      <c r="F450">
        <v>-8000</v>
      </c>
      <c r="G450">
        <v>-8000</v>
      </c>
      <c r="H450">
        <v>-8000</v>
      </c>
      <c r="I450">
        <v>-8000</v>
      </c>
    </row>
    <row r="451" spans="1:9" x14ac:dyDescent="0.3">
      <c r="A451" s="48" t="s">
        <v>54</v>
      </c>
      <c r="C451">
        <v>1000</v>
      </c>
      <c r="D451">
        <v>-9000</v>
      </c>
      <c r="E451">
        <v>15000</v>
      </c>
      <c r="F451">
        <v>-9000</v>
      </c>
      <c r="G451">
        <v>-9000</v>
      </c>
      <c r="H451">
        <v>-9000</v>
      </c>
      <c r="I451">
        <v>-9000</v>
      </c>
    </row>
    <row r="452" spans="1:9" x14ac:dyDescent="0.3">
      <c r="A452" s="48" t="s">
        <v>55</v>
      </c>
      <c r="C452">
        <v>2000</v>
      </c>
      <c r="D452">
        <v>-10000</v>
      </c>
      <c r="E452">
        <v>14000</v>
      </c>
      <c r="F452">
        <v>-10000</v>
      </c>
      <c r="G452">
        <v>-10000</v>
      </c>
      <c r="H452">
        <v>-10000</v>
      </c>
      <c r="I452">
        <v>-10000</v>
      </c>
    </row>
    <row r="453" spans="1:9" x14ac:dyDescent="0.3">
      <c r="A453" s="48" t="s">
        <v>56</v>
      </c>
      <c r="C453">
        <v>3000</v>
      </c>
      <c r="D453">
        <v>-11000</v>
      </c>
      <c r="E453">
        <v>13000</v>
      </c>
      <c r="F453">
        <v>-11000</v>
      </c>
      <c r="G453">
        <v>-11000</v>
      </c>
      <c r="H453">
        <v>-11000</v>
      </c>
      <c r="I453">
        <v>-11000</v>
      </c>
    </row>
    <row r="454" spans="1:9" x14ac:dyDescent="0.3">
      <c r="A454" s="48" t="s">
        <v>57</v>
      </c>
      <c r="C454">
        <v>4000</v>
      </c>
      <c r="D454">
        <v>-12000</v>
      </c>
      <c r="E454">
        <v>12000</v>
      </c>
      <c r="F454">
        <v>-12000</v>
      </c>
      <c r="G454">
        <v>-12000</v>
      </c>
      <c r="H454">
        <v>-12000</v>
      </c>
      <c r="I454">
        <v>-12000</v>
      </c>
    </row>
    <row r="455" spans="1:9" x14ac:dyDescent="0.3">
      <c r="A455" s="48" t="s">
        <v>58</v>
      </c>
      <c r="C455">
        <v>5000</v>
      </c>
      <c r="D455">
        <v>-13000</v>
      </c>
      <c r="E455">
        <v>11000</v>
      </c>
      <c r="F455">
        <v>-13000</v>
      </c>
      <c r="G455">
        <v>-13000</v>
      </c>
      <c r="H455">
        <v>-13000</v>
      </c>
      <c r="I455">
        <v>-13000</v>
      </c>
    </row>
    <row r="456" spans="1:9" x14ac:dyDescent="0.3">
      <c r="A456" s="15" t="s">
        <v>45</v>
      </c>
    </row>
    <row r="457" spans="1:9" x14ac:dyDescent="0.3">
      <c r="A457" s="48" t="s">
        <v>35</v>
      </c>
      <c r="C457">
        <v>-5000</v>
      </c>
      <c r="D457">
        <v>-2000</v>
      </c>
      <c r="E457">
        <v>19000</v>
      </c>
      <c r="F457">
        <v>-5000</v>
      </c>
      <c r="G457">
        <v>-5000</v>
      </c>
      <c r="H457">
        <v>-5000</v>
      </c>
      <c r="I457">
        <v>-5000</v>
      </c>
    </row>
    <row r="458" spans="1:9" x14ac:dyDescent="0.3">
      <c r="A458" s="48" t="s">
        <v>41</v>
      </c>
      <c r="C458">
        <v>-4000</v>
      </c>
      <c r="D458">
        <v>-3000</v>
      </c>
      <c r="E458">
        <v>18000</v>
      </c>
      <c r="F458">
        <v>-6000</v>
      </c>
      <c r="G458">
        <v>-6000</v>
      </c>
      <c r="H458">
        <v>-6000</v>
      </c>
      <c r="I458">
        <v>-6000</v>
      </c>
    </row>
    <row r="459" spans="1:9" x14ac:dyDescent="0.3">
      <c r="A459" s="48" t="s">
        <v>42</v>
      </c>
      <c r="C459">
        <v>-3000</v>
      </c>
      <c r="D459">
        <v>-4000</v>
      </c>
      <c r="E459">
        <v>17000</v>
      </c>
      <c r="F459">
        <v>-7000</v>
      </c>
      <c r="G459">
        <v>-7000</v>
      </c>
      <c r="H459">
        <v>-7000</v>
      </c>
      <c r="I459">
        <v>-7000</v>
      </c>
    </row>
    <row r="460" spans="1:9" x14ac:dyDescent="0.3">
      <c r="A460" s="48" t="s">
        <v>43</v>
      </c>
      <c r="C460">
        <v>-2000</v>
      </c>
      <c r="D460">
        <v>-5000</v>
      </c>
      <c r="E460">
        <v>16000</v>
      </c>
      <c r="F460">
        <v>-8000</v>
      </c>
      <c r="G460">
        <v>-8000</v>
      </c>
      <c r="H460">
        <v>-8000</v>
      </c>
      <c r="I460">
        <v>-8000</v>
      </c>
    </row>
    <row r="461" spans="1:9" x14ac:dyDescent="0.3">
      <c r="A461" s="48" t="s">
        <v>44</v>
      </c>
      <c r="C461">
        <v>-1000</v>
      </c>
      <c r="D461">
        <v>-6000</v>
      </c>
      <c r="E461">
        <v>15000</v>
      </c>
      <c r="F461">
        <v>-9000</v>
      </c>
      <c r="G461">
        <v>-9000</v>
      </c>
      <c r="H461">
        <v>-9000</v>
      </c>
      <c r="I461">
        <v>-9000</v>
      </c>
    </row>
    <row r="462" spans="1:9" x14ac:dyDescent="0.3">
      <c r="A462" s="48" t="s">
        <v>54</v>
      </c>
      <c r="C462">
        <v>0</v>
      </c>
      <c r="D462">
        <v>-7000</v>
      </c>
      <c r="E462">
        <v>14000</v>
      </c>
      <c r="F462">
        <v>-10000</v>
      </c>
      <c r="G462">
        <v>-10000</v>
      </c>
      <c r="H462">
        <v>-10000</v>
      </c>
      <c r="I462">
        <v>-10000</v>
      </c>
    </row>
    <row r="463" spans="1:9" x14ac:dyDescent="0.3">
      <c r="A463" s="48" t="s">
        <v>55</v>
      </c>
      <c r="C463">
        <v>1000</v>
      </c>
      <c r="D463">
        <v>-8000</v>
      </c>
      <c r="E463">
        <v>13000</v>
      </c>
      <c r="F463">
        <v>-11000</v>
      </c>
      <c r="G463">
        <v>-11000</v>
      </c>
      <c r="H463">
        <v>-11000</v>
      </c>
      <c r="I463">
        <v>-11000</v>
      </c>
    </row>
    <row r="464" spans="1:9" x14ac:dyDescent="0.3">
      <c r="A464" s="48" t="s">
        <v>56</v>
      </c>
      <c r="C464">
        <v>2000</v>
      </c>
      <c r="D464">
        <v>-9000</v>
      </c>
      <c r="E464">
        <v>12000</v>
      </c>
      <c r="F464">
        <v>-12000</v>
      </c>
      <c r="G464">
        <v>-12000</v>
      </c>
      <c r="H464">
        <v>-12000</v>
      </c>
      <c r="I464">
        <v>-12000</v>
      </c>
    </row>
    <row r="465" spans="1:9" x14ac:dyDescent="0.3">
      <c r="A465" s="48" t="s">
        <v>57</v>
      </c>
      <c r="C465">
        <v>3000</v>
      </c>
      <c r="D465">
        <v>-10000</v>
      </c>
      <c r="E465">
        <v>11000</v>
      </c>
      <c r="F465">
        <v>-13000</v>
      </c>
      <c r="G465">
        <v>-13000</v>
      </c>
      <c r="H465">
        <v>-13000</v>
      </c>
      <c r="I465">
        <v>-13000</v>
      </c>
    </row>
    <row r="466" spans="1:9" x14ac:dyDescent="0.3">
      <c r="A466" s="48" t="s">
        <v>58</v>
      </c>
      <c r="C466">
        <v>4000</v>
      </c>
      <c r="D466">
        <v>-11000</v>
      </c>
      <c r="E466">
        <v>10000</v>
      </c>
      <c r="F466">
        <v>-14000</v>
      </c>
      <c r="G466">
        <v>-14000</v>
      </c>
      <c r="H466">
        <v>-14000</v>
      </c>
      <c r="I466">
        <v>-14000</v>
      </c>
    </row>
    <row r="467" spans="1:9" x14ac:dyDescent="0.3">
      <c r="A467" s="15" t="s">
        <v>46</v>
      </c>
    </row>
    <row r="468" spans="1:9" x14ac:dyDescent="0.3">
      <c r="A468" s="48" t="s">
        <v>35</v>
      </c>
      <c r="C468">
        <v>-6000</v>
      </c>
      <c r="D468">
        <v>0</v>
      </c>
      <c r="E468">
        <v>18000</v>
      </c>
      <c r="F468">
        <v>-6000</v>
      </c>
      <c r="G468">
        <v>-6000</v>
      </c>
      <c r="H468">
        <v>-6000</v>
      </c>
      <c r="I468">
        <v>-6000</v>
      </c>
    </row>
    <row r="469" spans="1:9" x14ac:dyDescent="0.3">
      <c r="A469" s="48" t="s">
        <v>41</v>
      </c>
      <c r="C469">
        <v>-5000</v>
      </c>
      <c r="D469">
        <v>-1000</v>
      </c>
      <c r="E469">
        <v>17000</v>
      </c>
      <c r="F469">
        <v>-7000</v>
      </c>
      <c r="G469">
        <v>-7000</v>
      </c>
      <c r="H469">
        <v>-7000</v>
      </c>
      <c r="I469">
        <v>-7000</v>
      </c>
    </row>
    <row r="470" spans="1:9" x14ac:dyDescent="0.3">
      <c r="A470" s="48" t="s">
        <v>42</v>
      </c>
      <c r="C470">
        <v>-4000</v>
      </c>
      <c r="D470">
        <v>-2000</v>
      </c>
      <c r="E470">
        <v>16000</v>
      </c>
      <c r="F470">
        <v>-8000</v>
      </c>
      <c r="G470">
        <v>-8000</v>
      </c>
      <c r="H470">
        <v>-8000</v>
      </c>
      <c r="I470">
        <v>-8000</v>
      </c>
    </row>
    <row r="471" spans="1:9" x14ac:dyDescent="0.3">
      <c r="A471" s="48" t="s">
        <v>43</v>
      </c>
      <c r="C471">
        <v>-3000</v>
      </c>
      <c r="D471">
        <v>-3000</v>
      </c>
      <c r="E471">
        <v>15000</v>
      </c>
      <c r="F471">
        <v>-9000</v>
      </c>
      <c r="G471">
        <v>-9000</v>
      </c>
      <c r="H471">
        <v>-9000</v>
      </c>
      <c r="I471">
        <v>-9000</v>
      </c>
    </row>
    <row r="472" spans="1:9" x14ac:dyDescent="0.3">
      <c r="A472" s="48" t="s">
        <v>44</v>
      </c>
      <c r="C472">
        <v>-2000</v>
      </c>
      <c r="D472">
        <v>-4000</v>
      </c>
      <c r="E472">
        <v>14000</v>
      </c>
      <c r="F472">
        <v>-10000</v>
      </c>
      <c r="G472">
        <v>-10000</v>
      </c>
      <c r="H472">
        <v>-10000</v>
      </c>
      <c r="I472">
        <v>-10000</v>
      </c>
    </row>
    <row r="473" spans="1:9" x14ac:dyDescent="0.3">
      <c r="A473" s="48" t="s">
        <v>54</v>
      </c>
      <c r="C473">
        <v>-1000</v>
      </c>
      <c r="D473">
        <v>-5000</v>
      </c>
      <c r="E473">
        <v>13000</v>
      </c>
      <c r="F473">
        <v>-11000</v>
      </c>
      <c r="G473">
        <v>-11000</v>
      </c>
      <c r="H473">
        <v>-11000</v>
      </c>
      <c r="I473">
        <v>-11000</v>
      </c>
    </row>
    <row r="474" spans="1:9" x14ac:dyDescent="0.3">
      <c r="A474" s="48" t="s">
        <v>55</v>
      </c>
      <c r="C474">
        <v>0</v>
      </c>
      <c r="D474">
        <v>-6000</v>
      </c>
      <c r="E474">
        <v>12000</v>
      </c>
      <c r="F474">
        <v>-12000</v>
      </c>
      <c r="G474">
        <v>-12000</v>
      </c>
      <c r="H474">
        <v>-12000</v>
      </c>
      <c r="I474">
        <v>-12000</v>
      </c>
    </row>
    <row r="475" spans="1:9" x14ac:dyDescent="0.3">
      <c r="A475" s="48" t="s">
        <v>56</v>
      </c>
      <c r="C475">
        <v>1000</v>
      </c>
      <c r="D475">
        <v>-7000</v>
      </c>
      <c r="E475">
        <v>11000</v>
      </c>
      <c r="F475">
        <v>-13000</v>
      </c>
      <c r="G475">
        <v>-13000</v>
      </c>
      <c r="H475">
        <v>-13000</v>
      </c>
      <c r="I475">
        <v>-13000</v>
      </c>
    </row>
    <row r="476" spans="1:9" x14ac:dyDescent="0.3">
      <c r="A476" s="48" t="s">
        <v>57</v>
      </c>
      <c r="C476">
        <v>2000</v>
      </c>
      <c r="D476">
        <v>-8000</v>
      </c>
      <c r="E476">
        <v>10000</v>
      </c>
      <c r="F476">
        <v>-14000</v>
      </c>
      <c r="G476">
        <v>-14000</v>
      </c>
      <c r="H476">
        <v>-14000</v>
      </c>
      <c r="I476">
        <v>-14000</v>
      </c>
    </row>
    <row r="477" spans="1:9" x14ac:dyDescent="0.3">
      <c r="A477" s="48" t="s">
        <v>58</v>
      </c>
      <c r="C477">
        <v>3000</v>
      </c>
      <c r="D477">
        <v>-9000</v>
      </c>
      <c r="E477">
        <v>9000</v>
      </c>
      <c r="F477">
        <v>-15000</v>
      </c>
      <c r="G477">
        <v>-15000</v>
      </c>
      <c r="H477">
        <v>-15000</v>
      </c>
      <c r="I477">
        <v>-15000</v>
      </c>
    </row>
    <row r="478" spans="1:9" x14ac:dyDescent="0.3">
      <c r="A478" s="15" t="s">
        <v>47</v>
      </c>
    </row>
    <row r="479" spans="1:9" x14ac:dyDescent="0.3">
      <c r="A479" s="48" t="s">
        <v>35</v>
      </c>
      <c r="C479">
        <v>-7000</v>
      </c>
      <c r="D479">
        <v>2000</v>
      </c>
      <c r="E479">
        <v>17000</v>
      </c>
      <c r="F479">
        <v>-7000</v>
      </c>
      <c r="G479">
        <v>-7000</v>
      </c>
      <c r="H479">
        <v>-7000</v>
      </c>
      <c r="I479">
        <v>-7000</v>
      </c>
    </row>
    <row r="480" spans="1:9" x14ac:dyDescent="0.3">
      <c r="A480" s="48" t="s">
        <v>41</v>
      </c>
      <c r="C480">
        <v>-6000</v>
      </c>
      <c r="D480">
        <v>1000</v>
      </c>
      <c r="E480">
        <v>16000</v>
      </c>
      <c r="F480">
        <v>-8000</v>
      </c>
      <c r="G480">
        <v>-8000</v>
      </c>
      <c r="H480">
        <v>-8000</v>
      </c>
      <c r="I480">
        <v>-8000</v>
      </c>
    </row>
    <row r="481" spans="1:9" x14ac:dyDescent="0.3">
      <c r="A481" s="48" t="s">
        <v>42</v>
      </c>
      <c r="C481">
        <v>-5000</v>
      </c>
      <c r="D481">
        <v>0</v>
      </c>
      <c r="E481">
        <v>15000</v>
      </c>
      <c r="F481">
        <v>-9000</v>
      </c>
      <c r="G481">
        <v>-9000</v>
      </c>
      <c r="H481">
        <v>-9000</v>
      </c>
      <c r="I481">
        <v>-9000</v>
      </c>
    </row>
    <row r="482" spans="1:9" x14ac:dyDescent="0.3">
      <c r="A482" s="48" t="s">
        <v>43</v>
      </c>
      <c r="C482">
        <v>-4000</v>
      </c>
      <c r="D482">
        <v>-1000</v>
      </c>
      <c r="E482">
        <v>14000</v>
      </c>
      <c r="F482">
        <v>-10000</v>
      </c>
      <c r="G482">
        <v>-10000</v>
      </c>
      <c r="H482">
        <v>-10000</v>
      </c>
      <c r="I482">
        <v>-10000</v>
      </c>
    </row>
    <row r="483" spans="1:9" x14ac:dyDescent="0.3">
      <c r="A483" s="48" t="s">
        <v>44</v>
      </c>
      <c r="C483">
        <v>-3000</v>
      </c>
      <c r="D483">
        <v>-2000</v>
      </c>
      <c r="E483">
        <v>13000</v>
      </c>
      <c r="F483">
        <v>-11000</v>
      </c>
      <c r="G483">
        <v>-11000</v>
      </c>
      <c r="H483">
        <v>-11000</v>
      </c>
      <c r="I483">
        <v>-11000</v>
      </c>
    </row>
    <row r="484" spans="1:9" x14ac:dyDescent="0.3">
      <c r="A484" s="48" t="s">
        <v>54</v>
      </c>
      <c r="C484">
        <v>-2000</v>
      </c>
      <c r="D484">
        <v>-3000</v>
      </c>
      <c r="E484">
        <v>12000</v>
      </c>
      <c r="F484">
        <v>-12000</v>
      </c>
      <c r="G484">
        <v>-12000</v>
      </c>
      <c r="H484">
        <v>-12000</v>
      </c>
      <c r="I484">
        <v>-12000</v>
      </c>
    </row>
    <row r="485" spans="1:9" x14ac:dyDescent="0.3">
      <c r="A485" s="48" t="s">
        <v>55</v>
      </c>
      <c r="C485">
        <v>-1000</v>
      </c>
      <c r="D485">
        <v>-4000</v>
      </c>
      <c r="E485">
        <v>11000</v>
      </c>
      <c r="F485">
        <v>-13000</v>
      </c>
      <c r="G485">
        <v>-13000</v>
      </c>
      <c r="H485">
        <v>-13000</v>
      </c>
      <c r="I485">
        <v>-13000</v>
      </c>
    </row>
    <row r="486" spans="1:9" x14ac:dyDescent="0.3">
      <c r="A486" s="48" t="s">
        <v>56</v>
      </c>
      <c r="C486">
        <v>0</v>
      </c>
      <c r="D486">
        <v>-5000</v>
      </c>
      <c r="E486">
        <v>10000</v>
      </c>
      <c r="F486">
        <v>-14000</v>
      </c>
      <c r="G486">
        <v>-14000</v>
      </c>
      <c r="H486">
        <v>-14000</v>
      </c>
      <c r="I486">
        <v>-14000</v>
      </c>
    </row>
    <row r="487" spans="1:9" x14ac:dyDescent="0.3">
      <c r="A487" s="48" t="s">
        <v>57</v>
      </c>
      <c r="C487">
        <v>1000</v>
      </c>
      <c r="D487">
        <v>-6000</v>
      </c>
      <c r="E487">
        <v>9000</v>
      </c>
      <c r="F487">
        <v>-15000</v>
      </c>
      <c r="G487">
        <v>-15000</v>
      </c>
      <c r="H487">
        <v>-15000</v>
      </c>
      <c r="I487">
        <v>-15000</v>
      </c>
    </row>
    <row r="488" spans="1:9" x14ac:dyDescent="0.3">
      <c r="A488" s="48" t="s">
        <v>58</v>
      </c>
      <c r="C488">
        <v>2000</v>
      </c>
      <c r="D488">
        <v>-7000</v>
      </c>
      <c r="E488">
        <v>8000</v>
      </c>
      <c r="F488">
        <v>-16000</v>
      </c>
      <c r="G488">
        <v>-16000</v>
      </c>
      <c r="H488">
        <v>-16000</v>
      </c>
      <c r="I488">
        <v>-16000</v>
      </c>
    </row>
    <row r="489" spans="1:9" x14ac:dyDescent="0.3">
      <c r="A489" s="15" t="s">
        <v>48</v>
      </c>
    </row>
    <row r="490" spans="1:9" x14ac:dyDescent="0.3">
      <c r="A490" s="48" t="s">
        <v>35</v>
      </c>
      <c r="C490">
        <v>-8000</v>
      </c>
      <c r="D490">
        <v>4000</v>
      </c>
      <c r="E490">
        <v>16000</v>
      </c>
      <c r="F490">
        <v>-8000</v>
      </c>
      <c r="G490">
        <v>-8000</v>
      </c>
      <c r="H490">
        <v>-8000</v>
      </c>
      <c r="I490">
        <v>-8000</v>
      </c>
    </row>
    <row r="491" spans="1:9" x14ac:dyDescent="0.3">
      <c r="A491" s="48" t="s">
        <v>41</v>
      </c>
      <c r="C491">
        <v>-7000</v>
      </c>
      <c r="D491">
        <v>3000</v>
      </c>
      <c r="E491">
        <v>15000</v>
      </c>
      <c r="F491">
        <v>-9000</v>
      </c>
      <c r="G491">
        <v>-9000</v>
      </c>
      <c r="H491">
        <v>-9000</v>
      </c>
      <c r="I491">
        <v>-9000</v>
      </c>
    </row>
    <row r="492" spans="1:9" x14ac:dyDescent="0.3">
      <c r="A492" s="48" t="s">
        <v>42</v>
      </c>
      <c r="C492">
        <v>-6000</v>
      </c>
      <c r="D492">
        <v>2000</v>
      </c>
      <c r="E492">
        <v>14000</v>
      </c>
      <c r="F492">
        <v>-10000</v>
      </c>
      <c r="G492">
        <v>-10000</v>
      </c>
      <c r="H492">
        <v>-10000</v>
      </c>
      <c r="I492">
        <v>-10000</v>
      </c>
    </row>
    <row r="493" spans="1:9" x14ac:dyDescent="0.3">
      <c r="A493" s="48" t="s">
        <v>43</v>
      </c>
      <c r="C493">
        <v>-5000</v>
      </c>
      <c r="D493">
        <v>1000</v>
      </c>
      <c r="E493">
        <v>13000</v>
      </c>
      <c r="F493">
        <v>-11000</v>
      </c>
      <c r="G493">
        <v>-11000</v>
      </c>
      <c r="H493">
        <v>-11000</v>
      </c>
      <c r="I493">
        <v>-11000</v>
      </c>
    </row>
    <row r="494" spans="1:9" x14ac:dyDescent="0.3">
      <c r="A494" s="48" t="s">
        <v>44</v>
      </c>
      <c r="C494">
        <v>-4000</v>
      </c>
      <c r="D494">
        <v>0</v>
      </c>
      <c r="E494">
        <v>12000</v>
      </c>
      <c r="F494">
        <v>-12000</v>
      </c>
      <c r="G494">
        <v>-12000</v>
      </c>
      <c r="H494">
        <v>-12000</v>
      </c>
      <c r="I494">
        <v>-12000</v>
      </c>
    </row>
    <row r="495" spans="1:9" x14ac:dyDescent="0.3">
      <c r="A495" s="48" t="s">
        <v>54</v>
      </c>
      <c r="C495">
        <v>-3000</v>
      </c>
      <c r="D495">
        <v>-1000</v>
      </c>
      <c r="E495">
        <v>11000</v>
      </c>
      <c r="F495">
        <v>-13000</v>
      </c>
      <c r="G495">
        <v>-13000</v>
      </c>
      <c r="H495">
        <v>-13000</v>
      </c>
      <c r="I495">
        <v>-13000</v>
      </c>
    </row>
    <row r="496" spans="1:9" x14ac:dyDescent="0.3">
      <c r="A496" s="48" t="s">
        <v>55</v>
      </c>
      <c r="C496">
        <v>-2000</v>
      </c>
      <c r="D496">
        <v>-2000</v>
      </c>
      <c r="E496">
        <v>10000</v>
      </c>
      <c r="F496">
        <v>-14000</v>
      </c>
      <c r="G496">
        <v>-14000</v>
      </c>
      <c r="H496">
        <v>-14000</v>
      </c>
      <c r="I496">
        <v>-14000</v>
      </c>
    </row>
    <row r="497" spans="1:9" x14ac:dyDescent="0.3">
      <c r="A497" s="48" t="s">
        <v>56</v>
      </c>
      <c r="C497">
        <v>-1000</v>
      </c>
      <c r="D497">
        <v>-3000</v>
      </c>
      <c r="E497">
        <v>9000</v>
      </c>
      <c r="F497">
        <v>-15000</v>
      </c>
      <c r="G497">
        <v>-15000</v>
      </c>
      <c r="H497">
        <v>-15000</v>
      </c>
      <c r="I497">
        <v>-15000</v>
      </c>
    </row>
    <row r="498" spans="1:9" x14ac:dyDescent="0.3">
      <c r="A498" s="48" t="s">
        <v>57</v>
      </c>
      <c r="C498">
        <v>0</v>
      </c>
      <c r="D498">
        <v>-4000</v>
      </c>
      <c r="E498">
        <v>8000</v>
      </c>
      <c r="F498">
        <v>-16000</v>
      </c>
      <c r="G498">
        <v>-16000</v>
      </c>
      <c r="H498">
        <v>-16000</v>
      </c>
      <c r="I498">
        <v>-16000</v>
      </c>
    </row>
    <row r="499" spans="1:9" x14ac:dyDescent="0.3">
      <c r="A499" s="48" t="s">
        <v>58</v>
      </c>
      <c r="C499">
        <v>1000</v>
      </c>
      <c r="D499">
        <v>-5000</v>
      </c>
      <c r="E499">
        <v>7000</v>
      </c>
      <c r="F499">
        <v>-17000</v>
      </c>
      <c r="G499">
        <v>-17000</v>
      </c>
      <c r="H499">
        <v>-17000</v>
      </c>
      <c r="I499">
        <v>-17000</v>
      </c>
    </row>
    <row r="500" spans="1:9" x14ac:dyDescent="0.3">
      <c r="A500" s="15" t="s">
        <v>59</v>
      </c>
    </row>
    <row r="501" spans="1:9" x14ac:dyDescent="0.3">
      <c r="A501" s="48" t="s">
        <v>35</v>
      </c>
      <c r="C501">
        <v>-9000</v>
      </c>
      <c r="D501">
        <v>6000</v>
      </c>
      <c r="E501">
        <v>15000</v>
      </c>
      <c r="F501">
        <v>-9000</v>
      </c>
      <c r="G501">
        <v>-9000</v>
      </c>
      <c r="H501">
        <v>-9000</v>
      </c>
      <c r="I501">
        <v>-9000</v>
      </c>
    </row>
    <row r="502" spans="1:9" x14ac:dyDescent="0.3">
      <c r="A502" s="48" t="s">
        <v>41</v>
      </c>
      <c r="C502">
        <v>-8000</v>
      </c>
      <c r="D502">
        <v>5000</v>
      </c>
      <c r="E502">
        <v>14000</v>
      </c>
      <c r="F502">
        <v>-10000</v>
      </c>
      <c r="G502">
        <v>-10000</v>
      </c>
      <c r="H502">
        <v>-10000</v>
      </c>
      <c r="I502">
        <v>-10000</v>
      </c>
    </row>
    <row r="503" spans="1:9" x14ac:dyDescent="0.3">
      <c r="A503" s="48" t="s">
        <v>42</v>
      </c>
      <c r="C503">
        <v>-7000</v>
      </c>
      <c r="D503">
        <v>4000</v>
      </c>
      <c r="E503">
        <v>13000</v>
      </c>
      <c r="F503">
        <v>-11000</v>
      </c>
      <c r="G503">
        <v>-11000</v>
      </c>
      <c r="H503">
        <v>-11000</v>
      </c>
      <c r="I503">
        <v>-11000</v>
      </c>
    </row>
    <row r="504" spans="1:9" x14ac:dyDescent="0.3">
      <c r="A504" s="48" t="s">
        <v>43</v>
      </c>
      <c r="C504">
        <v>-6000</v>
      </c>
      <c r="D504">
        <v>3000</v>
      </c>
      <c r="E504">
        <v>12000</v>
      </c>
      <c r="F504">
        <v>-12000</v>
      </c>
      <c r="G504">
        <v>-12000</v>
      </c>
      <c r="H504">
        <v>-12000</v>
      </c>
      <c r="I504">
        <v>-12000</v>
      </c>
    </row>
    <row r="505" spans="1:9" x14ac:dyDescent="0.3">
      <c r="A505" s="48" t="s">
        <v>44</v>
      </c>
      <c r="C505">
        <v>-5000</v>
      </c>
      <c r="D505">
        <v>2000</v>
      </c>
      <c r="E505">
        <v>11000</v>
      </c>
      <c r="F505">
        <v>-13000</v>
      </c>
      <c r="G505">
        <v>-13000</v>
      </c>
      <c r="H505">
        <v>-13000</v>
      </c>
      <c r="I505">
        <v>-13000</v>
      </c>
    </row>
    <row r="506" spans="1:9" x14ac:dyDescent="0.3">
      <c r="A506" s="48" t="s">
        <v>54</v>
      </c>
      <c r="C506">
        <v>-4000</v>
      </c>
      <c r="D506">
        <v>1000</v>
      </c>
      <c r="E506">
        <v>10000</v>
      </c>
      <c r="F506">
        <v>-14000</v>
      </c>
      <c r="G506">
        <v>-14000</v>
      </c>
      <c r="H506">
        <v>-14000</v>
      </c>
      <c r="I506">
        <v>-14000</v>
      </c>
    </row>
    <row r="507" spans="1:9" x14ac:dyDescent="0.3">
      <c r="A507" s="48" t="s">
        <v>55</v>
      </c>
      <c r="C507">
        <v>-3000</v>
      </c>
      <c r="D507">
        <v>0</v>
      </c>
      <c r="E507">
        <v>9000</v>
      </c>
      <c r="F507">
        <v>-15000</v>
      </c>
      <c r="G507">
        <v>-15000</v>
      </c>
      <c r="H507">
        <v>-15000</v>
      </c>
      <c r="I507">
        <v>-15000</v>
      </c>
    </row>
    <row r="508" spans="1:9" x14ac:dyDescent="0.3">
      <c r="A508" s="48" t="s">
        <v>56</v>
      </c>
      <c r="C508">
        <v>-2000</v>
      </c>
      <c r="D508">
        <v>-1000</v>
      </c>
      <c r="E508">
        <v>8000</v>
      </c>
      <c r="F508">
        <v>-16000</v>
      </c>
      <c r="G508">
        <v>-16000</v>
      </c>
      <c r="H508">
        <v>-16000</v>
      </c>
      <c r="I508">
        <v>-16000</v>
      </c>
    </row>
    <row r="509" spans="1:9" x14ac:dyDescent="0.3">
      <c r="A509" s="48" t="s">
        <v>57</v>
      </c>
      <c r="C509">
        <v>-1000</v>
      </c>
      <c r="D509">
        <v>-2000</v>
      </c>
      <c r="E509">
        <v>7000</v>
      </c>
      <c r="F509">
        <v>-17000</v>
      </c>
      <c r="G509">
        <v>-17000</v>
      </c>
      <c r="H509">
        <v>-17000</v>
      </c>
      <c r="I509">
        <v>-17000</v>
      </c>
    </row>
    <row r="510" spans="1:9" x14ac:dyDescent="0.3">
      <c r="A510" s="48" t="s">
        <v>58</v>
      </c>
      <c r="C510">
        <v>0</v>
      </c>
      <c r="D510">
        <v>-3000</v>
      </c>
      <c r="E510">
        <v>6000</v>
      </c>
      <c r="F510">
        <v>-18000</v>
      </c>
      <c r="G510">
        <v>-18000</v>
      </c>
      <c r="H510">
        <v>-18000</v>
      </c>
      <c r="I510">
        <v>-18000</v>
      </c>
    </row>
    <row r="511" spans="1:9" x14ac:dyDescent="0.3">
      <c r="A511" s="15" t="s">
        <v>60</v>
      </c>
    </row>
    <row r="512" spans="1:9" x14ac:dyDescent="0.3">
      <c r="A512" s="48" t="s">
        <v>35</v>
      </c>
      <c r="C512">
        <v>-10000</v>
      </c>
      <c r="D512">
        <v>8000</v>
      </c>
      <c r="E512">
        <v>14000</v>
      </c>
      <c r="F512">
        <v>-10000</v>
      </c>
      <c r="G512">
        <v>-10000</v>
      </c>
      <c r="H512">
        <v>-10000</v>
      </c>
      <c r="I512">
        <v>-10000</v>
      </c>
    </row>
    <row r="513" spans="1:9" x14ac:dyDescent="0.3">
      <c r="A513" s="48" t="s">
        <v>41</v>
      </c>
      <c r="C513">
        <v>-9000</v>
      </c>
      <c r="D513">
        <v>7000</v>
      </c>
      <c r="E513">
        <v>13000</v>
      </c>
      <c r="F513">
        <v>-11000</v>
      </c>
      <c r="G513">
        <v>-11000</v>
      </c>
      <c r="H513">
        <v>-11000</v>
      </c>
      <c r="I513">
        <v>-11000</v>
      </c>
    </row>
    <row r="514" spans="1:9" x14ac:dyDescent="0.3">
      <c r="A514" s="48" t="s">
        <v>42</v>
      </c>
      <c r="C514">
        <v>-8000</v>
      </c>
      <c r="D514">
        <v>6000</v>
      </c>
      <c r="E514">
        <v>12000</v>
      </c>
      <c r="F514">
        <v>-12000</v>
      </c>
      <c r="G514">
        <v>-12000</v>
      </c>
      <c r="H514">
        <v>-12000</v>
      </c>
      <c r="I514">
        <v>-12000</v>
      </c>
    </row>
    <row r="515" spans="1:9" x14ac:dyDescent="0.3">
      <c r="A515" s="48" t="s">
        <v>43</v>
      </c>
      <c r="C515">
        <v>-7000</v>
      </c>
      <c r="D515">
        <v>5000</v>
      </c>
      <c r="E515">
        <v>11000</v>
      </c>
      <c r="F515">
        <v>-13000</v>
      </c>
      <c r="G515">
        <v>-13000</v>
      </c>
      <c r="H515">
        <v>-13000</v>
      </c>
      <c r="I515">
        <v>-13000</v>
      </c>
    </row>
    <row r="516" spans="1:9" x14ac:dyDescent="0.3">
      <c r="A516" s="48" t="s">
        <v>44</v>
      </c>
      <c r="C516">
        <v>-6000</v>
      </c>
      <c r="D516">
        <v>4000</v>
      </c>
      <c r="E516">
        <v>10000</v>
      </c>
      <c r="F516">
        <v>-14000</v>
      </c>
      <c r="G516">
        <v>-14000</v>
      </c>
      <c r="H516">
        <v>-14000</v>
      </c>
      <c r="I516">
        <v>-14000</v>
      </c>
    </row>
    <row r="517" spans="1:9" x14ac:dyDescent="0.3">
      <c r="A517" s="48" t="s">
        <v>54</v>
      </c>
      <c r="C517">
        <v>-5000</v>
      </c>
      <c r="D517">
        <v>3000</v>
      </c>
      <c r="E517">
        <v>9000</v>
      </c>
      <c r="F517">
        <v>-15000</v>
      </c>
      <c r="G517">
        <v>-15000</v>
      </c>
      <c r="H517">
        <v>-15000</v>
      </c>
      <c r="I517">
        <v>-15000</v>
      </c>
    </row>
    <row r="518" spans="1:9" x14ac:dyDescent="0.3">
      <c r="A518" s="48" t="s">
        <v>55</v>
      </c>
      <c r="C518">
        <v>-4000</v>
      </c>
      <c r="D518">
        <v>2000</v>
      </c>
      <c r="E518">
        <v>8000</v>
      </c>
      <c r="F518">
        <v>-16000</v>
      </c>
      <c r="G518">
        <v>-16000</v>
      </c>
      <c r="H518">
        <v>-16000</v>
      </c>
      <c r="I518">
        <v>-16000</v>
      </c>
    </row>
    <row r="519" spans="1:9" x14ac:dyDescent="0.3">
      <c r="A519" s="48" t="s">
        <v>56</v>
      </c>
      <c r="C519">
        <v>-3000</v>
      </c>
      <c r="D519">
        <v>1000</v>
      </c>
      <c r="E519">
        <v>7000</v>
      </c>
      <c r="F519">
        <v>-17000</v>
      </c>
      <c r="G519">
        <v>-17000</v>
      </c>
      <c r="H519">
        <v>-17000</v>
      </c>
      <c r="I519">
        <v>-17000</v>
      </c>
    </row>
    <row r="520" spans="1:9" x14ac:dyDescent="0.3">
      <c r="A520" s="48" t="s">
        <v>57</v>
      </c>
      <c r="C520">
        <v>-2000</v>
      </c>
      <c r="D520">
        <v>0</v>
      </c>
      <c r="E520">
        <v>6000</v>
      </c>
      <c r="F520">
        <v>-18000</v>
      </c>
      <c r="G520">
        <v>-18000</v>
      </c>
      <c r="H520">
        <v>-18000</v>
      </c>
      <c r="I520">
        <v>-18000</v>
      </c>
    </row>
    <row r="521" spans="1:9" x14ac:dyDescent="0.3">
      <c r="A521" s="48" t="s">
        <v>58</v>
      </c>
      <c r="C521">
        <v>-1000</v>
      </c>
      <c r="D521">
        <v>-1000</v>
      </c>
      <c r="E521">
        <v>5000</v>
      </c>
      <c r="F521">
        <v>-19000</v>
      </c>
      <c r="G521">
        <v>-19000</v>
      </c>
      <c r="H521">
        <v>-19000</v>
      </c>
      <c r="I521">
        <v>-19000</v>
      </c>
    </row>
    <row r="522" spans="1:9" x14ac:dyDescent="0.3">
      <c r="A522" s="15" t="s">
        <v>61</v>
      </c>
    </row>
    <row r="523" spans="1:9" x14ac:dyDescent="0.3">
      <c r="A523" s="48" t="s">
        <v>35</v>
      </c>
      <c r="C523">
        <v>-11000</v>
      </c>
      <c r="D523">
        <v>10000</v>
      </c>
      <c r="E523">
        <v>13000</v>
      </c>
      <c r="F523">
        <v>-11000</v>
      </c>
      <c r="G523">
        <v>-11000</v>
      </c>
      <c r="H523">
        <v>-11000</v>
      </c>
      <c r="I523">
        <v>-11000</v>
      </c>
    </row>
    <row r="524" spans="1:9" x14ac:dyDescent="0.3">
      <c r="A524" s="48" t="s">
        <v>41</v>
      </c>
      <c r="C524">
        <v>-10000</v>
      </c>
      <c r="D524">
        <v>9000</v>
      </c>
      <c r="E524">
        <v>12000</v>
      </c>
      <c r="F524">
        <v>-12000</v>
      </c>
      <c r="G524">
        <v>-12000</v>
      </c>
      <c r="H524">
        <v>-12000</v>
      </c>
      <c r="I524">
        <v>-12000</v>
      </c>
    </row>
    <row r="525" spans="1:9" x14ac:dyDescent="0.3">
      <c r="A525" s="48" t="s">
        <v>42</v>
      </c>
      <c r="C525">
        <v>-9000</v>
      </c>
      <c r="D525">
        <v>8000</v>
      </c>
      <c r="E525">
        <v>11000</v>
      </c>
      <c r="F525">
        <v>-13000</v>
      </c>
      <c r="G525">
        <v>-13000</v>
      </c>
      <c r="H525">
        <v>-13000</v>
      </c>
      <c r="I525">
        <v>-13000</v>
      </c>
    </row>
    <row r="526" spans="1:9" x14ac:dyDescent="0.3">
      <c r="A526" s="48" t="s">
        <v>43</v>
      </c>
      <c r="C526">
        <v>-8000</v>
      </c>
      <c r="D526">
        <v>7000</v>
      </c>
      <c r="E526">
        <v>10000</v>
      </c>
      <c r="F526">
        <v>-14000</v>
      </c>
      <c r="G526">
        <v>-14000</v>
      </c>
      <c r="H526">
        <v>-14000</v>
      </c>
      <c r="I526">
        <v>-14000</v>
      </c>
    </row>
    <row r="527" spans="1:9" x14ac:dyDescent="0.3">
      <c r="A527" s="48" t="s">
        <v>44</v>
      </c>
      <c r="C527">
        <v>-7000</v>
      </c>
      <c r="D527">
        <v>6000</v>
      </c>
      <c r="E527">
        <v>9000</v>
      </c>
      <c r="F527">
        <v>-15000</v>
      </c>
      <c r="G527">
        <v>-15000</v>
      </c>
      <c r="H527">
        <v>-15000</v>
      </c>
      <c r="I527">
        <v>-15000</v>
      </c>
    </row>
    <row r="528" spans="1:9" x14ac:dyDescent="0.3">
      <c r="A528" s="48" t="s">
        <v>54</v>
      </c>
      <c r="C528">
        <v>-6000</v>
      </c>
      <c r="D528">
        <v>5000</v>
      </c>
      <c r="E528">
        <v>8000</v>
      </c>
      <c r="F528">
        <v>-16000</v>
      </c>
      <c r="G528">
        <v>-16000</v>
      </c>
      <c r="H528">
        <v>-16000</v>
      </c>
      <c r="I528">
        <v>-16000</v>
      </c>
    </row>
    <row r="529" spans="1:9" x14ac:dyDescent="0.3">
      <c r="A529" s="48" t="s">
        <v>55</v>
      </c>
      <c r="C529">
        <v>-5000</v>
      </c>
      <c r="D529">
        <v>4000</v>
      </c>
      <c r="E529">
        <v>7000</v>
      </c>
      <c r="F529">
        <v>-17000</v>
      </c>
      <c r="G529">
        <v>-17000</v>
      </c>
      <c r="H529">
        <v>-17000</v>
      </c>
      <c r="I529">
        <v>-17000</v>
      </c>
    </row>
    <row r="530" spans="1:9" x14ac:dyDescent="0.3">
      <c r="A530" s="48" t="s">
        <v>56</v>
      </c>
      <c r="C530">
        <v>-4000</v>
      </c>
      <c r="D530">
        <v>3000</v>
      </c>
      <c r="E530">
        <v>6000</v>
      </c>
      <c r="F530">
        <v>-18000</v>
      </c>
      <c r="G530">
        <v>-18000</v>
      </c>
      <c r="H530">
        <v>-18000</v>
      </c>
      <c r="I530">
        <v>-18000</v>
      </c>
    </row>
    <row r="531" spans="1:9" x14ac:dyDescent="0.3">
      <c r="A531" s="48" t="s">
        <v>57</v>
      </c>
      <c r="C531">
        <v>-3000</v>
      </c>
      <c r="D531">
        <v>2000</v>
      </c>
      <c r="E531">
        <v>5000</v>
      </c>
      <c r="F531">
        <v>-19000</v>
      </c>
      <c r="G531">
        <v>-19000</v>
      </c>
      <c r="H531">
        <v>-19000</v>
      </c>
      <c r="I531">
        <v>-19000</v>
      </c>
    </row>
    <row r="532" spans="1:9" x14ac:dyDescent="0.3">
      <c r="A532" s="48" t="s">
        <v>58</v>
      </c>
      <c r="C532">
        <v>-2000</v>
      </c>
      <c r="D532">
        <v>1000</v>
      </c>
      <c r="E532">
        <v>4000</v>
      </c>
      <c r="F532">
        <v>-20000</v>
      </c>
      <c r="G532">
        <v>-20000</v>
      </c>
      <c r="H532">
        <v>-20000</v>
      </c>
      <c r="I532">
        <v>-20000</v>
      </c>
    </row>
    <row r="533" spans="1:9" x14ac:dyDescent="0.3">
      <c r="A533" s="15" t="s">
        <v>62</v>
      </c>
    </row>
    <row r="534" spans="1:9" x14ac:dyDescent="0.3">
      <c r="A534" s="48" t="s">
        <v>35</v>
      </c>
      <c r="C534">
        <v>-12000</v>
      </c>
      <c r="D534">
        <v>12000</v>
      </c>
      <c r="E534">
        <v>12000</v>
      </c>
      <c r="F534">
        <v>-12000</v>
      </c>
      <c r="G534">
        <v>-12000</v>
      </c>
      <c r="H534">
        <v>-12000</v>
      </c>
      <c r="I534">
        <v>-12000</v>
      </c>
    </row>
    <row r="535" spans="1:9" x14ac:dyDescent="0.3">
      <c r="A535" s="48" t="s">
        <v>41</v>
      </c>
      <c r="C535">
        <v>-11000</v>
      </c>
      <c r="D535">
        <v>11000</v>
      </c>
      <c r="E535">
        <v>11000</v>
      </c>
      <c r="F535">
        <v>-13000</v>
      </c>
      <c r="G535">
        <v>-13000</v>
      </c>
      <c r="H535">
        <v>-13000</v>
      </c>
      <c r="I535">
        <v>-13000</v>
      </c>
    </row>
    <row r="536" spans="1:9" x14ac:dyDescent="0.3">
      <c r="A536" s="48" t="s">
        <v>42</v>
      </c>
      <c r="C536">
        <v>-10000</v>
      </c>
      <c r="D536">
        <v>10000</v>
      </c>
      <c r="E536">
        <v>10000</v>
      </c>
      <c r="F536">
        <v>-14000</v>
      </c>
      <c r="G536">
        <v>-14000</v>
      </c>
      <c r="H536">
        <v>-14000</v>
      </c>
      <c r="I536">
        <v>-14000</v>
      </c>
    </row>
    <row r="537" spans="1:9" x14ac:dyDescent="0.3">
      <c r="A537" s="48" t="s">
        <v>43</v>
      </c>
      <c r="C537">
        <v>-9000</v>
      </c>
      <c r="D537">
        <v>9000</v>
      </c>
      <c r="E537">
        <v>9000</v>
      </c>
      <c r="F537">
        <v>-15000</v>
      </c>
      <c r="G537">
        <v>-15000</v>
      </c>
      <c r="H537">
        <v>-15000</v>
      </c>
      <c r="I537">
        <v>-15000</v>
      </c>
    </row>
    <row r="538" spans="1:9" x14ac:dyDescent="0.3">
      <c r="A538" s="48" t="s">
        <v>44</v>
      </c>
      <c r="C538">
        <v>-8000</v>
      </c>
      <c r="D538">
        <v>8000</v>
      </c>
      <c r="E538">
        <v>8000</v>
      </c>
      <c r="F538">
        <v>-16000</v>
      </c>
      <c r="G538">
        <v>-16000</v>
      </c>
      <c r="H538">
        <v>-16000</v>
      </c>
      <c r="I538">
        <v>-16000</v>
      </c>
    </row>
    <row r="539" spans="1:9" x14ac:dyDescent="0.3">
      <c r="A539" s="48" t="s">
        <v>54</v>
      </c>
      <c r="C539">
        <v>-7000</v>
      </c>
      <c r="D539">
        <v>7000</v>
      </c>
      <c r="E539">
        <v>7000</v>
      </c>
      <c r="F539">
        <v>-17000</v>
      </c>
      <c r="G539">
        <v>-17000</v>
      </c>
      <c r="H539">
        <v>-17000</v>
      </c>
      <c r="I539">
        <v>-17000</v>
      </c>
    </row>
    <row r="540" spans="1:9" x14ac:dyDescent="0.3">
      <c r="A540" s="48" t="s">
        <v>55</v>
      </c>
      <c r="C540">
        <v>-6000</v>
      </c>
      <c r="D540">
        <v>6000</v>
      </c>
      <c r="E540">
        <v>6000</v>
      </c>
      <c r="F540">
        <v>-18000</v>
      </c>
      <c r="G540">
        <v>-18000</v>
      </c>
      <c r="H540">
        <v>-18000</v>
      </c>
      <c r="I540">
        <v>-18000</v>
      </c>
    </row>
    <row r="541" spans="1:9" x14ac:dyDescent="0.3">
      <c r="A541" s="48" t="s">
        <v>56</v>
      </c>
      <c r="C541">
        <v>-5000</v>
      </c>
      <c r="D541">
        <v>5000</v>
      </c>
      <c r="E541">
        <v>5000</v>
      </c>
      <c r="F541">
        <v>-19000</v>
      </c>
      <c r="G541">
        <v>-19000</v>
      </c>
      <c r="H541">
        <v>-19000</v>
      </c>
      <c r="I541">
        <v>-19000</v>
      </c>
    </row>
    <row r="542" spans="1:9" x14ac:dyDescent="0.3">
      <c r="A542" s="48" t="s">
        <v>57</v>
      </c>
      <c r="C542">
        <v>-4000</v>
      </c>
      <c r="D542">
        <v>4000</v>
      </c>
      <c r="E542">
        <v>4000</v>
      </c>
      <c r="F542">
        <v>-20000</v>
      </c>
      <c r="G542">
        <v>-20000</v>
      </c>
      <c r="H542">
        <v>-20000</v>
      </c>
      <c r="I542">
        <v>-20000</v>
      </c>
    </row>
    <row r="543" spans="1:9" x14ac:dyDescent="0.3">
      <c r="A543" s="48" t="s">
        <v>58</v>
      </c>
      <c r="C543">
        <v>-3000</v>
      </c>
      <c r="D543">
        <v>3000</v>
      </c>
      <c r="E543">
        <v>3000</v>
      </c>
      <c r="F543">
        <v>-21000</v>
      </c>
      <c r="G543">
        <v>-21000</v>
      </c>
      <c r="H543">
        <v>-21000</v>
      </c>
      <c r="I543">
        <v>-21000</v>
      </c>
    </row>
    <row r="544" spans="1:9" x14ac:dyDescent="0.3">
      <c r="A544" s="15" t="s">
        <v>63</v>
      </c>
    </row>
    <row r="545" spans="1:9" x14ac:dyDescent="0.3">
      <c r="A545" s="48" t="s">
        <v>35</v>
      </c>
      <c r="C545">
        <v>-13000</v>
      </c>
      <c r="D545">
        <v>14000</v>
      </c>
      <c r="E545">
        <v>11000</v>
      </c>
      <c r="F545">
        <v>-13000</v>
      </c>
      <c r="G545">
        <v>-13000</v>
      </c>
      <c r="H545">
        <v>-13000</v>
      </c>
      <c r="I545">
        <v>-13000</v>
      </c>
    </row>
    <row r="546" spans="1:9" x14ac:dyDescent="0.3">
      <c r="A546" s="48" t="s">
        <v>41</v>
      </c>
      <c r="C546">
        <v>-12000</v>
      </c>
      <c r="D546">
        <v>13000</v>
      </c>
      <c r="E546">
        <v>10000</v>
      </c>
      <c r="F546">
        <v>-14000</v>
      </c>
      <c r="G546">
        <v>-14000</v>
      </c>
      <c r="H546">
        <v>-14000</v>
      </c>
      <c r="I546">
        <v>-14000</v>
      </c>
    </row>
    <row r="547" spans="1:9" x14ac:dyDescent="0.3">
      <c r="A547" s="48" t="s">
        <v>42</v>
      </c>
      <c r="C547">
        <v>-11000</v>
      </c>
      <c r="D547">
        <v>12000</v>
      </c>
      <c r="E547">
        <v>9000</v>
      </c>
      <c r="F547">
        <v>-15000</v>
      </c>
      <c r="G547">
        <v>-15000</v>
      </c>
      <c r="H547">
        <v>-15000</v>
      </c>
      <c r="I547">
        <v>-15000</v>
      </c>
    </row>
    <row r="548" spans="1:9" x14ac:dyDescent="0.3">
      <c r="A548" s="48" t="s">
        <v>43</v>
      </c>
      <c r="C548">
        <v>-10000</v>
      </c>
      <c r="D548">
        <v>11000</v>
      </c>
      <c r="E548">
        <v>8000</v>
      </c>
      <c r="F548">
        <v>-16000</v>
      </c>
      <c r="G548">
        <v>-16000</v>
      </c>
      <c r="H548">
        <v>-16000</v>
      </c>
      <c r="I548">
        <v>-16000</v>
      </c>
    </row>
    <row r="549" spans="1:9" x14ac:dyDescent="0.3">
      <c r="A549" s="48" t="s">
        <v>44</v>
      </c>
      <c r="C549">
        <v>-9000</v>
      </c>
      <c r="D549">
        <v>10000</v>
      </c>
      <c r="E549">
        <v>7000</v>
      </c>
      <c r="F549">
        <v>-17000</v>
      </c>
      <c r="G549">
        <v>-17000</v>
      </c>
      <c r="H549">
        <v>-17000</v>
      </c>
      <c r="I549">
        <v>-17000</v>
      </c>
    </row>
    <row r="550" spans="1:9" x14ac:dyDescent="0.3">
      <c r="A550" s="48" t="s">
        <v>54</v>
      </c>
      <c r="C550">
        <v>-8000</v>
      </c>
      <c r="D550">
        <v>9000</v>
      </c>
      <c r="E550">
        <v>6000</v>
      </c>
      <c r="F550">
        <v>-18000</v>
      </c>
      <c r="G550">
        <v>-18000</v>
      </c>
      <c r="H550">
        <v>-18000</v>
      </c>
      <c r="I550">
        <v>-18000</v>
      </c>
    </row>
    <row r="551" spans="1:9" x14ac:dyDescent="0.3">
      <c r="A551" s="48" t="s">
        <v>55</v>
      </c>
      <c r="C551">
        <v>-7000</v>
      </c>
      <c r="D551">
        <v>8000</v>
      </c>
      <c r="E551">
        <v>5000</v>
      </c>
      <c r="F551">
        <v>-19000</v>
      </c>
      <c r="G551">
        <v>-19000</v>
      </c>
      <c r="H551">
        <v>-19000</v>
      </c>
      <c r="I551">
        <v>-19000</v>
      </c>
    </row>
    <row r="552" spans="1:9" x14ac:dyDescent="0.3">
      <c r="A552" s="48" t="s">
        <v>56</v>
      </c>
      <c r="C552">
        <v>-6000</v>
      </c>
      <c r="D552">
        <v>7000</v>
      </c>
      <c r="E552">
        <v>4000</v>
      </c>
      <c r="F552">
        <v>-20000</v>
      </c>
      <c r="G552">
        <v>-20000</v>
      </c>
      <c r="H552">
        <v>-20000</v>
      </c>
      <c r="I552">
        <v>-20000</v>
      </c>
    </row>
    <row r="553" spans="1:9" x14ac:dyDescent="0.3">
      <c r="A553" s="48" t="s">
        <v>57</v>
      </c>
      <c r="C553">
        <v>-5000</v>
      </c>
      <c r="D553">
        <v>6000</v>
      </c>
      <c r="E553">
        <v>3000</v>
      </c>
      <c r="F553">
        <v>-21000</v>
      </c>
      <c r="G553">
        <v>-21000</v>
      </c>
      <c r="H553">
        <v>-21000</v>
      </c>
      <c r="I553">
        <v>-21000</v>
      </c>
    </row>
    <row r="554" spans="1:9" x14ac:dyDescent="0.3">
      <c r="A554" s="48" t="s">
        <v>58</v>
      </c>
      <c r="C554">
        <v>-4000</v>
      </c>
      <c r="D554">
        <v>5000</v>
      </c>
      <c r="E554">
        <v>2000</v>
      </c>
      <c r="F554">
        <v>-22000</v>
      </c>
      <c r="G554">
        <v>-22000</v>
      </c>
      <c r="H554">
        <v>-22000</v>
      </c>
      <c r="I554">
        <v>-22000</v>
      </c>
    </row>
    <row r="555" spans="1:9" x14ac:dyDescent="0.3">
      <c r="A555" s="13" t="s">
        <v>37</v>
      </c>
    </row>
    <row r="556" spans="1:9" x14ac:dyDescent="0.3">
      <c r="A556" s="14" t="s">
        <v>33</v>
      </c>
    </row>
    <row r="557" spans="1:9" x14ac:dyDescent="0.3">
      <c r="A557" s="15" t="s">
        <v>34</v>
      </c>
    </row>
    <row r="558" spans="1:9" x14ac:dyDescent="0.3">
      <c r="A558" s="48" t="s">
        <v>35</v>
      </c>
      <c r="C558">
        <v>-1000</v>
      </c>
      <c r="D558">
        <v>-1000</v>
      </c>
      <c r="E558">
        <v>-1000</v>
      </c>
      <c r="F558">
        <v>10000</v>
      </c>
      <c r="G558">
        <v>-1000</v>
      </c>
      <c r="H558">
        <v>-1000</v>
      </c>
      <c r="I558">
        <v>-1000</v>
      </c>
    </row>
    <row r="559" spans="1:9" x14ac:dyDescent="0.3">
      <c r="A559" s="48" t="s">
        <v>41</v>
      </c>
      <c r="C559">
        <v>0</v>
      </c>
      <c r="D559">
        <v>-2000</v>
      </c>
      <c r="E559">
        <v>-2000</v>
      </c>
      <c r="F559">
        <v>9000</v>
      </c>
      <c r="G559">
        <v>-2000</v>
      </c>
      <c r="H559">
        <v>-2000</v>
      </c>
      <c r="I559">
        <v>-2000</v>
      </c>
    </row>
    <row r="560" spans="1:9" x14ac:dyDescent="0.3">
      <c r="A560" s="48" t="s">
        <v>42</v>
      </c>
      <c r="C560">
        <v>1000</v>
      </c>
      <c r="D560">
        <v>-3000</v>
      </c>
      <c r="E560">
        <v>-3000</v>
      </c>
      <c r="F560">
        <v>8000</v>
      </c>
      <c r="G560">
        <v>-3000</v>
      </c>
      <c r="H560">
        <v>-3000</v>
      </c>
      <c r="I560">
        <v>-3000</v>
      </c>
    </row>
    <row r="561" spans="1:9" x14ac:dyDescent="0.3">
      <c r="A561" s="48" t="s">
        <v>43</v>
      </c>
      <c r="C561">
        <v>2000</v>
      </c>
      <c r="D561">
        <v>-4000</v>
      </c>
      <c r="E561">
        <v>-4000</v>
      </c>
      <c r="F561">
        <v>7000</v>
      </c>
      <c r="G561">
        <v>-4000</v>
      </c>
      <c r="H561">
        <v>-4000</v>
      </c>
      <c r="I561">
        <v>-4000</v>
      </c>
    </row>
    <row r="562" spans="1:9" x14ac:dyDescent="0.3">
      <c r="A562" s="48" t="s">
        <v>44</v>
      </c>
      <c r="C562">
        <v>3000</v>
      </c>
      <c r="D562">
        <v>-5000</v>
      </c>
      <c r="E562">
        <v>-5000</v>
      </c>
      <c r="F562">
        <v>6000</v>
      </c>
      <c r="G562">
        <v>-5000</v>
      </c>
      <c r="H562">
        <v>-5000</v>
      </c>
      <c r="I562">
        <v>-5000</v>
      </c>
    </row>
    <row r="563" spans="1:9" x14ac:dyDescent="0.3">
      <c r="A563" s="48" t="s">
        <v>54</v>
      </c>
      <c r="C563">
        <v>4000</v>
      </c>
      <c r="D563">
        <v>-6000</v>
      </c>
      <c r="E563">
        <v>-6000</v>
      </c>
      <c r="F563">
        <v>5000</v>
      </c>
      <c r="G563">
        <v>-6000</v>
      </c>
      <c r="H563">
        <v>-6000</v>
      </c>
      <c r="I563">
        <v>-6000</v>
      </c>
    </row>
    <row r="564" spans="1:9" x14ac:dyDescent="0.3">
      <c r="A564" s="48" t="s">
        <v>55</v>
      </c>
      <c r="C564">
        <v>5000</v>
      </c>
      <c r="D564">
        <v>-7000</v>
      </c>
      <c r="E564">
        <v>-7000</v>
      </c>
      <c r="F564">
        <v>4000</v>
      </c>
      <c r="G564">
        <v>-7000</v>
      </c>
      <c r="H564">
        <v>-7000</v>
      </c>
      <c r="I564">
        <v>-7000</v>
      </c>
    </row>
    <row r="565" spans="1:9" x14ac:dyDescent="0.3">
      <c r="A565" s="48" t="s">
        <v>56</v>
      </c>
      <c r="C565">
        <v>6000</v>
      </c>
      <c r="D565">
        <v>-8000</v>
      </c>
      <c r="E565">
        <v>-8000</v>
      </c>
      <c r="F565">
        <v>3000</v>
      </c>
      <c r="G565">
        <v>-8000</v>
      </c>
      <c r="H565">
        <v>-8000</v>
      </c>
      <c r="I565">
        <v>-8000</v>
      </c>
    </row>
    <row r="566" spans="1:9" x14ac:dyDescent="0.3">
      <c r="A566" s="48" t="s">
        <v>57</v>
      </c>
      <c r="C566">
        <v>7000</v>
      </c>
      <c r="D566">
        <v>-9000</v>
      </c>
      <c r="E566">
        <v>-9000</v>
      </c>
      <c r="F566">
        <v>2000</v>
      </c>
      <c r="G566">
        <v>-9000</v>
      </c>
      <c r="H566">
        <v>-9000</v>
      </c>
      <c r="I566">
        <v>-9000</v>
      </c>
    </row>
    <row r="567" spans="1:9" x14ac:dyDescent="0.3">
      <c r="A567" s="48" t="s">
        <v>58</v>
      </c>
      <c r="C567">
        <v>8000</v>
      </c>
      <c r="D567">
        <v>-10000</v>
      </c>
      <c r="E567">
        <v>-10000</v>
      </c>
      <c r="F567">
        <v>1000</v>
      </c>
      <c r="G567">
        <v>-10000</v>
      </c>
      <c r="H567">
        <v>-10000</v>
      </c>
      <c r="I567">
        <v>-10000</v>
      </c>
    </row>
    <row r="568" spans="1:9" x14ac:dyDescent="0.3">
      <c r="A568" s="15" t="s">
        <v>45</v>
      </c>
    </row>
    <row r="569" spans="1:9" x14ac:dyDescent="0.3">
      <c r="A569" s="48" t="s">
        <v>35</v>
      </c>
      <c r="C569">
        <v>-2000</v>
      </c>
      <c r="D569">
        <v>1000</v>
      </c>
      <c r="E569">
        <v>-2000</v>
      </c>
      <c r="F569">
        <v>9000</v>
      </c>
      <c r="G569">
        <v>-2000</v>
      </c>
      <c r="H569">
        <v>-2000</v>
      </c>
      <c r="I569">
        <v>-2000</v>
      </c>
    </row>
    <row r="570" spans="1:9" x14ac:dyDescent="0.3">
      <c r="A570" s="48" t="s">
        <v>41</v>
      </c>
      <c r="C570">
        <v>-1000</v>
      </c>
      <c r="D570">
        <v>0</v>
      </c>
      <c r="E570">
        <v>-3000</v>
      </c>
      <c r="F570">
        <v>8000</v>
      </c>
      <c r="G570">
        <v>-3000</v>
      </c>
      <c r="H570">
        <v>-3000</v>
      </c>
      <c r="I570">
        <v>-3000</v>
      </c>
    </row>
    <row r="571" spans="1:9" x14ac:dyDescent="0.3">
      <c r="A571" s="48" t="s">
        <v>42</v>
      </c>
      <c r="C571">
        <v>0</v>
      </c>
      <c r="D571">
        <v>-1000</v>
      </c>
      <c r="E571">
        <v>-4000</v>
      </c>
      <c r="F571">
        <v>7000</v>
      </c>
      <c r="G571">
        <v>-4000</v>
      </c>
      <c r="H571">
        <v>-4000</v>
      </c>
      <c r="I571">
        <v>-4000</v>
      </c>
    </row>
    <row r="572" spans="1:9" x14ac:dyDescent="0.3">
      <c r="A572" s="48" t="s">
        <v>43</v>
      </c>
      <c r="C572">
        <v>1000</v>
      </c>
      <c r="D572">
        <v>-2000</v>
      </c>
      <c r="E572">
        <v>-5000</v>
      </c>
      <c r="F572">
        <v>6000</v>
      </c>
      <c r="G572">
        <v>-5000</v>
      </c>
      <c r="H572">
        <v>-5000</v>
      </c>
      <c r="I572">
        <v>-5000</v>
      </c>
    </row>
    <row r="573" spans="1:9" x14ac:dyDescent="0.3">
      <c r="A573" s="48" t="s">
        <v>44</v>
      </c>
      <c r="C573">
        <v>2000</v>
      </c>
      <c r="D573">
        <v>-3000</v>
      </c>
      <c r="E573">
        <v>-6000</v>
      </c>
      <c r="F573">
        <v>5000</v>
      </c>
      <c r="G573">
        <v>-6000</v>
      </c>
      <c r="H573">
        <v>-6000</v>
      </c>
      <c r="I573">
        <v>-6000</v>
      </c>
    </row>
    <row r="574" spans="1:9" x14ac:dyDescent="0.3">
      <c r="A574" s="48" t="s">
        <v>54</v>
      </c>
      <c r="C574">
        <v>3000</v>
      </c>
      <c r="D574">
        <v>-4000</v>
      </c>
      <c r="E574">
        <v>-7000</v>
      </c>
      <c r="F574">
        <v>4000</v>
      </c>
      <c r="G574">
        <v>-7000</v>
      </c>
      <c r="H574">
        <v>-7000</v>
      </c>
      <c r="I574">
        <v>-7000</v>
      </c>
    </row>
    <row r="575" spans="1:9" x14ac:dyDescent="0.3">
      <c r="A575" s="48" t="s">
        <v>55</v>
      </c>
      <c r="C575">
        <v>4000</v>
      </c>
      <c r="D575">
        <v>-5000</v>
      </c>
      <c r="E575">
        <v>-8000</v>
      </c>
      <c r="F575">
        <v>3000</v>
      </c>
      <c r="G575">
        <v>-8000</v>
      </c>
      <c r="H575">
        <v>-8000</v>
      </c>
      <c r="I575">
        <v>-8000</v>
      </c>
    </row>
    <row r="576" spans="1:9" x14ac:dyDescent="0.3">
      <c r="A576" s="48" t="s">
        <v>56</v>
      </c>
      <c r="C576">
        <v>5000</v>
      </c>
      <c r="D576">
        <v>-6000</v>
      </c>
      <c r="E576">
        <v>-9000</v>
      </c>
      <c r="F576">
        <v>2000</v>
      </c>
      <c r="G576">
        <v>-9000</v>
      </c>
      <c r="H576">
        <v>-9000</v>
      </c>
      <c r="I576">
        <v>-9000</v>
      </c>
    </row>
    <row r="577" spans="1:9" x14ac:dyDescent="0.3">
      <c r="A577" s="48" t="s">
        <v>57</v>
      </c>
      <c r="C577">
        <v>6000</v>
      </c>
      <c r="D577">
        <v>-7000</v>
      </c>
      <c r="E577">
        <v>-10000</v>
      </c>
      <c r="F577">
        <v>1000</v>
      </c>
      <c r="G577">
        <v>-10000</v>
      </c>
      <c r="H577">
        <v>-10000</v>
      </c>
      <c r="I577">
        <v>-10000</v>
      </c>
    </row>
    <row r="578" spans="1:9" x14ac:dyDescent="0.3">
      <c r="A578" s="48" t="s">
        <v>58</v>
      </c>
      <c r="C578">
        <v>7000</v>
      </c>
      <c r="D578">
        <v>-8000</v>
      </c>
      <c r="E578">
        <v>-11000</v>
      </c>
      <c r="F578">
        <v>0</v>
      </c>
      <c r="G578">
        <v>-11000</v>
      </c>
      <c r="H578">
        <v>-11000</v>
      </c>
      <c r="I578">
        <v>-11000</v>
      </c>
    </row>
    <row r="579" spans="1:9" x14ac:dyDescent="0.3">
      <c r="A579" s="15" t="s">
        <v>46</v>
      </c>
    </row>
    <row r="580" spans="1:9" x14ac:dyDescent="0.3">
      <c r="A580" s="48" t="s">
        <v>35</v>
      </c>
      <c r="C580">
        <v>-3000</v>
      </c>
      <c r="D580">
        <v>3000</v>
      </c>
      <c r="E580">
        <v>-3000</v>
      </c>
      <c r="F580">
        <v>8000</v>
      </c>
      <c r="G580">
        <v>-3000</v>
      </c>
      <c r="H580">
        <v>-3000</v>
      </c>
      <c r="I580">
        <v>-3000</v>
      </c>
    </row>
    <row r="581" spans="1:9" x14ac:dyDescent="0.3">
      <c r="A581" s="48" t="s">
        <v>41</v>
      </c>
      <c r="C581">
        <v>-2000</v>
      </c>
      <c r="D581">
        <v>2000</v>
      </c>
      <c r="E581">
        <v>-4000</v>
      </c>
      <c r="F581">
        <v>7000</v>
      </c>
      <c r="G581">
        <v>-4000</v>
      </c>
      <c r="H581">
        <v>-4000</v>
      </c>
      <c r="I581">
        <v>-4000</v>
      </c>
    </row>
    <row r="582" spans="1:9" x14ac:dyDescent="0.3">
      <c r="A582" s="48" t="s">
        <v>42</v>
      </c>
      <c r="C582">
        <v>-1000</v>
      </c>
      <c r="D582">
        <v>1000</v>
      </c>
      <c r="E582">
        <v>-5000</v>
      </c>
      <c r="F582">
        <v>6000</v>
      </c>
      <c r="G582">
        <v>-5000</v>
      </c>
      <c r="H582">
        <v>-5000</v>
      </c>
      <c r="I582">
        <v>-5000</v>
      </c>
    </row>
    <row r="583" spans="1:9" x14ac:dyDescent="0.3">
      <c r="A583" s="48" t="s">
        <v>43</v>
      </c>
      <c r="C583">
        <v>0</v>
      </c>
      <c r="D583">
        <v>0</v>
      </c>
      <c r="E583">
        <v>-6000</v>
      </c>
      <c r="F583">
        <v>5000</v>
      </c>
      <c r="G583">
        <v>-6000</v>
      </c>
      <c r="H583">
        <v>-6000</v>
      </c>
      <c r="I583">
        <v>-6000</v>
      </c>
    </row>
    <row r="584" spans="1:9" x14ac:dyDescent="0.3">
      <c r="A584" s="48" t="s">
        <v>44</v>
      </c>
      <c r="C584">
        <v>1000</v>
      </c>
      <c r="D584">
        <v>-1000</v>
      </c>
      <c r="E584">
        <v>-7000</v>
      </c>
      <c r="F584">
        <v>4000</v>
      </c>
      <c r="G584">
        <v>-7000</v>
      </c>
      <c r="H584">
        <v>-7000</v>
      </c>
      <c r="I584">
        <v>-7000</v>
      </c>
    </row>
    <row r="585" spans="1:9" x14ac:dyDescent="0.3">
      <c r="A585" s="48" t="s">
        <v>54</v>
      </c>
      <c r="C585">
        <v>2000</v>
      </c>
      <c r="D585">
        <v>-2000</v>
      </c>
      <c r="E585">
        <v>-8000</v>
      </c>
      <c r="F585">
        <v>3000</v>
      </c>
      <c r="G585">
        <v>-8000</v>
      </c>
      <c r="H585">
        <v>-8000</v>
      </c>
      <c r="I585">
        <v>-8000</v>
      </c>
    </row>
    <row r="586" spans="1:9" x14ac:dyDescent="0.3">
      <c r="A586" s="48" t="s">
        <v>55</v>
      </c>
      <c r="C586">
        <v>3000</v>
      </c>
      <c r="D586">
        <v>-3000</v>
      </c>
      <c r="E586">
        <v>-9000</v>
      </c>
      <c r="F586">
        <v>2000</v>
      </c>
      <c r="G586">
        <v>-9000</v>
      </c>
      <c r="H586">
        <v>-9000</v>
      </c>
      <c r="I586">
        <v>-9000</v>
      </c>
    </row>
    <row r="587" spans="1:9" x14ac:dyDescent="0.3">
      <c r="A587" s="48" t="s">
        <v>56</v>
      </c>
      <c r="C587">
        <v>4000</v>
      </c>
      <c r="D587">
        <v>-4000</v>
      </c>
      <c r="E587">
        <v>-10000</v>
      </c>
      <c r="F587">
        <v>1000</v>
      </c>
      <c r="G587">
        <v>-10000</v>
      </c>
      <c r="H587">
        <v>-10000</v>
      </c>
      <c r="I587">
        <v>-10000</v>
      </c>
    </row>
    <row r="588" spans="1:9" x14ac:dyDescent="0.3">
      <c r="A588" s="48" t="s">
        <v>57</v>
      </c>
      <c r="C588">
        <v>5000</v>
      </c>
      <c r="D588">
        <v>-5000</v>
      </c>
      <c r="E588">
        <v>-11000</v>
      </c>
      <c r="F588">
        <v>0</v>
      </c>
      <c r="G588">
        <v>-11000</v>
      </c>
      <c r="H588">
        <v>-11000</v>
      </c>
      <c r="I588">
        <v>-11000</v>
      </c>
    </row>
    <row r="589" spans="1:9" x14ac:dyDescent="0.3">
      <c r="A589" s="48" t="s">
        <v>58</v>
      </c>
      <c r="C589">
        <v>6000</v>
      </c>
      <c r="D589">
        <v>-6000</v>
      </c>
      <c r="E589">
        <v>-12000</v>
      </c>
      <c r="F589">
        <v>-1000</v>
      </c>
      <c r="G589">
        <v>-12000</v>
      </c>
      <c r="H589">
        <v>-12000</v>
      </c>
      <c r="I589">
        <v>-12000</v>
      </c>
    </row>
    <row r="590" spans="1:9" x14ac:dyDescent="0.3">
      <c r="A590" s="15" t="s">
        <v>47</v>
      </c>
    </row>
    <row r="591" spans="1:9" x14ac:dyDescent="0.3">
      <c r="A591" s="48" t="s">
        <v>35</v>
      </c>
      <c r="C591">
        <v>-4000</v>
      </c>
      <c r="D591">
        <v>5000</v>
      </c>
      <c r="E591">
        <v>-4000</v>
      </c>
      <c r="F591">
        <v>7000</v>
      </c>
      <c r="G591">
        <v>-4000</v>
      </c>
      <c r="H591">
        <v>-4000</v>
      </c>
      <c r="I591">
        <v>-4000</v>
      </c>
    </row>
    <row r="592" spans="1:9" x14ac:dyDescent="0.3">
      <c r="A592" s="48" t="s">
        <v>41</v>
      </c>
      <c r="C592">
        <v>-3000</v>
      </c>
      <c r="D592">
        <v>4000</v>
      </c>
      <c r="E592">
        <v>-5000</v>
      </c>
      <c r="F592">
        <v>6000</v>
      </c>
      <c r="G592">
        <v>-5000</v>
      </c>
      <c r="H592">
        <v>-5000</v>
      </c>
      <c r="I592">
        <v>-5000</v>
      </c>
    </row>
    <row r="593" spans="1:9" x14ac:dyDescent="0.3">
      <c r="A593" s="48" t="s">
        <v>42</v>
      </c>
      <c r="C593">
        <v>-2000</v>
      </c>
      <c r="D593">
        <v>3000</v>
      </c>
      <c r="E593">
        <v>-6000</v>
      </c>
      <c r="F593">
        <v>5000</v>
      </c>
      <c r="G593">
        <v>-6000</v>
      </c>
      <c r="H593">
        <v>-6000</v>
      </c>
      <c r="I593">
        <v>-6000</v>
      </c>
    </row>
    <row r="594" spans="1:9" x14ac:dyDescent="0.3">
      <c r="A594" s="48" t="s">
        <v>43</v>
      </c>
      <c r="C594">
        <v>-1000</v>
      </c>
      <c r="D594">
        <v>2000</v>
      </c>
      <c r="E594">
        <v>-7000</v>
      </c>
      <c r="F594">
        <v>4000</v>
      </c>
      <c r="G594">
        <v>-7000</v>
      </c>
      <c r="H594">
        <v>-7000</v>
      </c>
      <c r="I594">
        <v>-7000</v>
      </c>
    </row>
    <row r="595" spans="1:9" x14ac:dyDescent="0.3">
      <c r="A595" s="48" t="s">
        <v>44</v>
      </c>
      <c r="C595">
        <v>0</v>
      </c>
      <c r="D595">
        <v>1000</v>
      </c>
      <c r="E595">
        <v>-8000</v>
      </c>
      <c r="F595">
        <v>3000</v>
      </c>
      <c r="G595">
        <v>-8000</v>
      </c>
      <c r="H595">
        <v>-8000</v>
      </c>
      <c r="I595">
        <v>-8000</v>
      </c>
    </row>
    <row r="596" spans="1:9" x14ac:dyDescent="0.3">
      <c r="A596" s="48" t="s">
        <v>54</v>
      </c>
      <c r="C596">
        <v>1000</v>
      </c>
      <c r="D596">
        <v>0</v>
      </c>
      <c r="E596">
        <v>-9000</v>
      </c>
      <c r="F596">
        <v>2000</v>
      </c>
      <c r="G596">
        <v>-9000</v>
      </c>
      <c r="H596">
        <v>-9000</v>
      </c>
      <c r="I596">
        <v>-9000</v>
      </c>
    </row>
    <row r="597" spans="1:9" x14ac:dyDescent="0.3">
      <c r="A597" s="48" t="s">
        <v>55</v>
      </c>
      <c r="C597">
        <v>2000</v>
      </c>
      <c r="D597">
        <v>-1000</v>
      </c>
      <c r="E597">
        <v>-10000</v>
      </c>
      <c r="F597">
        <v>1000</v>
      </c>
      <c r="G597">
        <v>-10000</v>
      </c>
      <c r="H597">
        <v>-10000</v>
      </c>
      <c r="I597">
        <v>-10000</v>
      </c>
    </row>
    <row r="598" spans="1:9" x14ac:dyDescent="0.3">
      <c r="A598" s="48" t="s">
        <v>56</v>
      </c>
      <c r="C598">
        <v>3000</v>
      </c>
      <c r="D598">
        <v>-2000</v>
      </c>
      <c r="E598">
        <v>-11000</v>
      </c>
      <c r="F598">
        <v>0</v>
      </c>
      <c r="G598">
        <v>-11000</v>
      </c>
      <c r="H598">
        <v>-11000</v>
      </c>
      <c r="I598">
        <v>-11000</v>
      </c>
    </row>
    <row r="599" spans="1:9" x14ac:dyDescent="0.3">
      <c r="A599" s="48" t="s">
        <v>57</v>
      </c>
      <c r="C599">
        <v>4000</v>
      </c>
      <c r="D599">
        <v>-3000</v>
      </c>
      <c r="E599">
        <v>-12000</v>
      </c>
      <c r="F599">
        <v>-1000</v>
      </c>
      <c r="G599">
        <v>-12000</v>
      </c>
      <c r="H599">
        <v>-12000</v>
      </c>
      <c r="I599">
        <v>-12000</v>
      </c>
    </row>
    <row r="600" spans="1:9" x14ac:dyDescent="0.3">
      <c r="A600" s="48" t="s">
        <v>58</v>
      </c>
      <c r="C600">
        <v>5000</v>
      </c>
      <c r="D600">
        <v>-4000</v>
      </c>
      <c r="E600">
        <v>-13000</v>
      </c>
      <c r="F600">
        <v>-2000</v>
      </c>
      <c r="G600">
        <v>-13000</v>
      </c>
      <c r="H600">
        <v>-13000</v>
      </c>
      <c r="I600">
        <v>-13000</v>
      </c>
    </row>
    <row r="601" spans="1:9" x14ac:dyDescent="0.3">
      <c r="A601" s="15" t="s">
        <v>48</v>
      </c>
    </row>
    <row r="602" spans="1:9" x14ac:dyDescent="0.3">
      <c r="A602" s="48" t="s">
        <v>35</v>
      </c>
      <c r="C602">
        <v>-5000</v>
      </c>
      <c r="D602">
        <v>7000</v>
      </c>
      <c r="E602">
        <v>-5000</v>
      </c>
      <c r="F602">
        <v>6000</v>
      </c>
      <c r="G602">
        <v>-5000</v>
      </c>
      <c r="H602">
        <v>-5000</v>
      </c>
      <c r="I602">
        <v>-5000</v>
      </c>
    </row>
    <row r="603" spans="1:9" x14ac:dyDescent="0.3">
      <c r="A603" s="48" t="s">
        <v>41</v>
      </c>
      <c r="C603">
        <v>-4000</v>
      </c>
      <c r="D603">
        <v>6000</v>
      </c>
      <c r="E603">
        <v>-6000</v>
      </c>
      <c r="F603">
        <v>5000</v>
      </c>
      <c r="G603">
        <v>-6000</v>
      </c>
      <c r="H603">
        <v>-6000</v>
      </c>
      <c r="I603">
        <v>-6000</v>
      </c>
    </row>
    <row r="604" spans="1:9" x14ac:dyDescent="0.3">
      <c r="A604" s="48" t="s">
        <v>42</v>
      </c>
      <c r="C604">
        <v>-3000</v>
      </c>
      <c r="D604">
        <v>5000</v>
      </c>
      <c r="E604">
        <v>-7000</v>
      </c>
      <c r="F604">
        <v>4000</v>
      </c>
      <c r="G604">
        <v>-7000</v>
      </c>
      <c r="H604">
        <v>-7000</v>
      </c>
      <c r="I604">
        <v>-7000</v>
      </c>
    </row>
    <row r="605" spans="1:9" x14ac:dyDescent="0.3">
      <c r="A605" s="48" t="s">
        <v>43</v>
      </c>
      <c r="C605">
        <v>-2000</v>
      </c>
      <c r="D605">
        <v>4000</v>
      </c>
      <c r="E605">
        <v>-8000</v>
      </c>
      <c r="F605">
        <v>3000</v>
      </c>
      <c r="G605">
        <v>-8000</v>
      </c>
      <c r="H605">
        <v>-8000</v>
      </c>
      <c r="I605">
        <v>-8000</v>
      </c>
    </row>
    <row r="606" spans="1:9" x14ac:dyDescent="0.3">
      <c r="A606" s="48" t="s">
        <v>44</v>
      </c>
      <c r="C606">
        <v>-1000</v>
      </c>
      <c r="D606">
        <v>3000</v>
      </c>
      <c r="E606">
        <v>-9000</v>
      </c>
      <c r="F606">
        <v>2000</v>
      </c>
      <c r="G606">
        <v>-9000</v>
      </c>
      <c r="H606">
        <v>-9000</v>
      </c>
      <c r="I606">
        <v>-9000</v>
      </c>
    </row>
    <row r="607" spans="1:9" x14ac:dyDescent="0.3">
      <c r="A607" s="48" t="s">
        <v>54</v>
      </c>
      <c r="C607">
        <v>0</v>
      </c>
      <c r="D607">
        <v>2000</v>
      </c>
      <c r="E607">
        <v>-10000</v>
      </c>
      <c r="F607">
        <v>1000</v>
      </c>
      <c r="G607">
        <v>-10000</v>
      </c>
      <c r="H607">
        <v>-10000</v>
      </c>
      <c r="I607">
        <v>-10000</v>
      </c>
    </row>
    <row r="608" spans="1:9" x14ac:dyDescent="0.3">
      <c r="A608" s="48" t="s">
        <v>55</v>
      </c>
      <c r="C608">
        <v>1000</v>
      </c>
      <c r="D608">
        <v>1000</v>
      </c>
      <c r="E608">
        <v>-11000</v>
      </c>
      <c r="F608">
        <v>0</v>
      </c>
      <c r="G608">
        <v>-11000</v>
      </c>
      <c r="H608">
        <v>-11000</v>
      </c>
      <c r="I608">
        <v>-11000</v>
      </c>
    </row>
    <row r="609" spans="1:9" x14ac:dyDescent="0.3">
      <c r="A609" s="48" t="s">
        <v>56</v>
      </c>
      <c r="C609">
        <v>2000</v>
      </c>
      <c r="D609">
        <v>0</v>
      </c>
      <c r="E609">
        <v>-12000</v>
      </c>
      <c r="F609">
        <v>-1000</v>
      </c>
      <c r="G609">
        <v>-12000</v>
      </c>
      <c r="H609">
        <v>-12000</v>
      </c>
      <c r="I609">
        <v>-12000</v>
      </c>
    </row>
    <row r="610" spans="1:9" x14ac:dyDescent="0.3">
      <c r="A610" s="48" t="s">
        <v>57</v>
      </c>
      <c r="C610">
        <v>3000</v>
      </c>
      <c r="D610">
        <v>-1000</v>
      </c>
      <c r="E610">
        <v>-13000</v>
      </c>
      <c r="F610">
        <v>-2000</v>
      </c>
      <c r="G610">
        <v>-13000</v>
      </c>
      <c r="H610">
        <v>-13000</v>
      </c>
      <c r="I610">
        <v>-13000</v>
      </c>
    </row>
    <row r="611" spans="1:9" x14ac:dyDescent="0.3">
      <c r="A611" s="48" t="s">
        <v>58</v>
      </c>
      <c r="C611">
        <v>4000</v>
      </c>
      <c r="D611">
        <v>-2000</v>
      </c>
      <c r="E611">
        <v>-14000</v>
      </c>
      <c r="F611">
        <v>-3000</v>
      </c>
      <c r="G611">
        <v>-14000</v>
      </c>
      <c r="H611">
        <v>-14000</v>
      </c>
      <c r="I611">
        <v>-14000</v>
      </c>
    </row>
    <row r="612" spans="1:9" x14ac:dyDescent="0.3">
      <c r="A612" s="15" t="s">
        <v>59</v>
      </c>
    </row>
    <row r="613" spans="1:9" x14ac:dyDescent="0.3">
      <c r="A613" s="48" t="s">
        <v>35</v>
      </c>
      <c r="C613">
        <v>-6000</v>
      </c>
      <c r="D613">
        <v>9000</v>
      </c>
      <c r="E613">
        <v>-6000</v>
      </c>
      <c r="F613">
        <v>5000</v>
      </c>
      <c r="G613">
        <v>-6000</v>
      </c>
      <c r="H613">
        <v>-6000</v>
      </c>
      <c r="I613">
        <v>-6000</v>
      </c>
    </row>
    <row r="614" spans="1:9" x14ac:dyDescent="0.3">
      <c r="A614" s="48" t="s">
        <v>41</v>
      </c>
      <c r="C614">
        <v>-5000</v>
      </c>
      <c r="D614">
        <v>8000</v>
      </c>
      <c r="E614">
        <v>-7000</v>
      </c>
      <c r="F614">
        <v>4000</v>
      </c>
      <c r="G614">
        <v>-7000</v>
      </c>
      <c r="H614">
        <v>-7000</v>
      </c>
      <c r="I614">
        <v>-7000</v>
      </c>
    </row>
    <row r="615" spans="1:9" x14ac:dyDescent="0.3">
      <c r="A615" s="48" t="s">
        <v>42</v>
      </c>
      <c r="C615">
        <v>-4000</v>
      </c>
      <c r="D615">
        <v>7000</v>
      </c>
      <c r="E615">
        <v>-8000</v>
      </c>
      <c r="F615">
        <v>3000</v>
      </c>
      <c r="G615">
        <v>-8000</v>
      </c>
      <c r="H615">
        <v>-8000</v>
      </c>
      <c r="I615">
        <v>-8000</v>
      </c>
    </row>
    <row r="616" spans="1:9" x14ac:dyDescent="0.3">
      <c r="A616" s="48" t="s">
        <v>43</v>
      </c>
      <c r="C616">
        <v>-3000</v>
      </c>
      <c r="D616">
        <v>6000</v>
      </c>
      <c r="E616">
        <v>-9000</v>
      </c>
      <c r="F616">
        <v>2000</v>
      </c>
      <c r="G616">
        <v>-9000</v>
      </c>
      <c r="H616">
        <v>-9000</v>
      </c>
      <c r="I616">
        <v>-9000</v>
      </c>
    </row>
    <row r="617" spans="1:9" x14ac:dyDescent="0.3">
      <c r="A617" s="48" t="s">
        <v>44</v>
      </c>
      <c r="C617">
        <v>-2000</v>
      </c>
      <c r="D617">
        <v>5000</v>
      </c>
      <c r="E617">
        <v>-10000</v>
      </c>
      <c r="F617">
        <v>1000</v>
      </c>
      <c r="G617">
        <v>-10000</v>
      </c>
      <c r="H617">
        <v>-10000</v>
      </c>
      <c r="I617">
        <v>-10000</v>
      </c>
    </row>
    <row r="618" spans="1:9" x14ac:dyDescent="0.3">
      <c r="A618" s="48" t="s">
        <v>54</v>
      </c>
      <c r="C618">
        <v>-1000</v>
      </c>
      <c r="D618">
        <v>4000</v>
      </c>
      <c r="E618">
        <v>-11000</v>
      </c>
      <c r="F618">
        <v>0</v>
      </c>
      <c r="G618">
        <v>-11000</v>
      </c>
      <c r="H618">
        <v>-11000</v>
      </c>
      <c r="I618">
        <v>-11000</v>
      </c>
    </row>
    <row r="619" spans="1:9" x14ac:dyDescent="0.3">
      <c r="A619" s="48" t="s">
        <v>55</v>
      </c>
      <c r="C619">
        <v>0</v>
      </c>
      <c r="D619">
        <v>3000</v>
      </c>
      <c r="E619">
        <v>-12000</v>
      </c>
      <c r="F619">
        <v>-1000</v>
      </c>
      <c r="G619">
        <v>-12000</v>
      </c>
      <c r="H619">
        <v>-12000</v>
      </c>
      <c r="I619">
        <v>-12000</v>
      </c>
    </row>
    <row r="620" spans="1:9" x14ac:dyDescent="0.3">
      <c r="A620" s="48" t="s">
        <v>56</v>
      </c>
      <c r="C620">
        <v>1000</v>
      </c>
      <c r="D620">
        <v>2000</v>
      </c>
      <c r="E620">
        <v>-13000</v>
      </c>
      <c r="F620">
        <v>-2000</v>
      </c>
      <c r="G620">
        <v>-13000</v>
      </c>
      <c r="H620">
        <v>-13000</v>
      </c>
      <c r="I620">
        <v>-13000</v>
      </c>
    </row>
    <row r="621" spans="1:9" x14ac:dyDescent="0.3">
      <c r="A621" s="48" t="s">
        <v>57</v>
      </c>
      <c r="C621">
        <v>2000</v>
      </c>
      <c r="D621">
        <v>1000</v>
      </c>
      <c r="E621">
        <v>-14000</v>
      </c>
      <c r="F621">
        <v>-3000</v>
      </c>
      <c r="G621">
        <v>-14000</v>
      </c>
      <c r="H621">
        <v>-14000</v>
      </c>
      <c r="I621">
        <v>-14000</v>
      </c>
    </row>
    <row r="622" spans="1:9" x14ac:dyDescent="0.3">
      <c r="A622" s="48" t="s">
        <v>58</v>
      </c>
      <c r="C622">
        <v>3000</v>
      </c>
      <c r="D622">
        <v>0</v>
      </c>
      <c r="E622">
        <v>-15000</v>
      </c>
      <c r="F622">
        <v>-4000</v>
      </c>
      <c r="G622">
        <v>-15000</v>
      </c>
      <c r="H622">
        <v>-15000</v>
      </c>
      <c r="I622">
        <v>-15000</v>
      </c>
    </row>
    <row r="623" spans="1:9" x14ac:dyDescent="0.3">
      <c r="A623" s="15" t="s">
        <v>60</v>
      </c>
    </row>
    <row r="624" spans="1:9" x14ac:dyDescent="0.3">
      <c r="A624" s="48" t="s">
        <v>35</v>
      </c>
      <c r="C624">
        <v>-7000</v>
      </c>
      <c r="D624">
        <v>11000</v>
      </c>
      <c r="E624">
        <v>-7000</v>
      </c>
      <c r="F624">
        <v>4000</v>
      </c>
      <c r="G624">
        <v>-7000</v>
      </c>
      <c r="H624">
        <v>-7000</v>
      </c>
      <c r="I624">
        <v>-7000</v>
      </c>
    </row>
    <row r="625" spans="1:9" x14ac:dyDescent="0.3">
      <c r="A625" s="48" t="s">
        <v>41</v>
      </c>
      <c r="C625">
        <v>-6000</v>
      </c>
      <c r="D625">
        <v>10000</v>
      </c>
      <c r="E625">
        <v>-8000</v>
      </c>
      <c r="F625">
        <v>3000</v>
      </c>
      <c r="G625">
        <v>-8000</v>
      </c>
      <c r="H625">
        <v>-8000</v>
      </c>
      <c r="I625">
        <v>-8000</v>
      </c>
    </row>
    <row r="626" spans="1:9" x14ac:dyDescent="0.3">
      <c r="A626" s="48" t="s">
        <v>42</v>
      </c>
      <c r="C626">
        <v>-5000</v>
      </c>
      <c r="D626">
        <v>9000</v>
      </c>
      <c r="E626">
        <v>-9000</v>
      </c>
      <c r="F626">
        <v>2000</v>
      </c>
      <c r="G626">
        <v>-9000</v>
      </c>
      <c r="H626">
        <v>-9000</v>
      </c>
      <c r="I626">
        <v>-9000</v>
      </c>
    </row>
    <row r="627" spans="1:9" x14ac:dyDescent="0.3">
      <c r="A627" s="48" t="s">
        <v>43</v>
      </c>
      <c r="C627">
        <v>-4000</v>
      </c>
      <c r="D627">
        <v>8000</v>
      </c>
      <c r="E627">
        <v>-10000</v>
      </c>
      <c r="F627">
        <v>1000</v>
      </c>
      <c r="G627">
        <v>-10000</v>
      </c>
      <c r="H627">
        <v>-10000</v>
      </c>
      <c r="I627">
        <v>-10000</v>
      </c>
    </row>
    <row r="628" spans="1:9" x14ac:dyDescent="0.3">
      <c r="A628" s="48" t="s">
        <v>44</v>
      </c>
      <c r="C628">
        <v>-3000</v>
      </c>
      <c r="D628">
        <v>7000</v>
      </c>
      <c r="E628">
        <v>-11000</v>
      </c>
      <c r="F628">
        <v>0</v>
      </c>
      <c r="G628">
        <v>-11000</v>
      </c>
      <c r="H628">
        <v>-11000</v>
      </c>
      <c r="I628">
        <v>-11000</v>
      </c>
    </row>
    <row r="629" spans="1:9" x14ac:dyDescent="0.3">
      <c r="A629" s="48" t="s">
        <v>54</v>
      </c>
      <c r="C629">
        <v>-2000</v>
      </c>
      <c r="D629">
        <v>6000</v>
      </c>
      <c r="E629">
        <v>-12000</v>
      </c>
      <c r="F629">
        <v>-1000</v>
      </c>
      <c r="G629">
        <v>-12000</v>
      </c>
      <c r="H629">
        <v>-12000</v>
      </c>
      <c r="I629">
        <v>-12000</v>
      </c>
    </row>
    <row r="630" spans="1:9" x14ac:dyDescent="0.3">
      <c r="A630" s="48" t="s">
        <v>55</v>
      </c>
      <c r="C630">
        <v>-1000</v>
      </c>
      <c r="D630">
        <v>5000</v>
      </c>
      <c r="E630">
        <v>-13000</v>
      </c>
      <c r="F630">
        <v>-2000</v>
      </c>
      <c r="G630">
        <v>-13000</v>
      </c>
      <c r="H630">
        <v>-13000</v>
      </c>
      <c r="I630">
        <v>-13000</v>
      </c>
    </row>
    <row r="631" spans="1:9" x14ac:dyDescent="0.3">
      <c r="A631" s="48" t="s">
        <v>56</v>
      </c>
      <c r="C631">
        <v>0</v>
      </c>
      <c r="D631">
        <v>4000</v>
      </c>
      <c r="E631">
        <v>-14000</v>
      </c>
      <c r="F631">
        <v>-3000</v>
      </c>
      <c r="G631">
        <v>-14000</v>
      </c>
      <c r="H631">
        <v>-14000</v>
      </c>
      <c r="I631">
        <v>-14000</v>
      </c>
    </row>
    <row r="632" spans="1:9" x14ac:dyDescent="0.3">
      <c r="A632" s="48" t="s">
        <v>57</v>
      </c>
      <c r="C632">
        <v>1000</v>
      </c>
      <c r="D632">
        <v>3000</v>
      </c>
      <c r="E632">
        <v>-15000</v>
      </c>
      <c r="F632">
        <v>-4000</v>
      </c>
      <c r="G632">
        <v>-15000</v>
      </c>
      <c r="H632">
        <v>-15000</v>
      </c>
      <c r="I632">
        <v>-15000</v>
      </c>
    </row>
    <row r="633" spans="1:9" x14ac:dyDescent="0.3">
      <c r="A633" s="48" t="s">
        <v>58</v>
      </c>
      <c r="C633">
        <v>2000</v>
      </c>
      <c r="D633">
        <v>2000</v>
      </c>
      <c r="E633">
        <v>-16000</v>
      </c>
      <c r="F633">
        <v>-5000</v>
      </c>
      <c r="G633">
        <v>-16000</v>
      </c>
      <c r="H633">
        <v>-16000</v>
      </c>
      <c r="I633">
        <v>-16000</v>
      </c>
    </row>
    <row r="634" spans="1:9" x14ac:dyDescent="0.3">
      <c r="A634" s="15" t="s">
        <v>61</v>
      </c>
    </row>
    <row r="635" spans="1:9" x14ac:dyDescent="0.3">
      <c r="A635" s="48" t="s">
        <v>35</v>
      </c>
      <c r="C635">
        <v>-8000</v>
      </c>
      <c r="D635">
        <v>13000</v>
      </c>
      <c r="E635">
        <v>-8000</v>
      </c>
      <c r="F635">
        <v>3000</v>
      </c>
      <c r="G635">
        <v>-8000</v>
      </c>
      <c r="H635">
        <v>-8000</v>
      </c>
      <c r="I635">
        <v>-8000</v>
      </c>
    </row>
    <row r="636" spans="1:9" x14ac:dyDescent="0.3">
      <c r="A636" s="48" t="s">
        <v>41</v>
      </c>
      <c r="C636">
        <v>-7000</v>
      </c>
      <c r="D636">
        <v>12000</v>
      </c>
      <c r="E636">
        <v>-9000</v>
      </c>
      <c r="F636">
        <v>2000</v>
      </c>
      <c r="G636">
        <v>-9000</v>
      </c>
      <c r="H636">
        <v>-9000</v>
      </c>
      <c r="I636">
        <v>-9000</v>
      </c>
    </row>
    <row r="637" spans="1:9" x14ac:dyDescent="0.3">
      <c r="A637" s="48" t="s">
        <v>42</v>
      </c>
      <c r="C637">
        <v>-6000</v>
      </c>
      <c r="D637">
        <v>11000</v>
      </c>
      <c r="E637">
        <v>-10000</v>
      </c>
      <c r="F637">
        <v>1000</v>
      </c>
      <c r="G637">
        <v>-10000</v>
      </c>
      <c r="H637">
        <v>-10000</v>
      </c>
      <c r="I637">
        <v>-10000</v>
      </c>
    </row>
    <row r="638" spans="1:9" x14ac:dyDescent="0.3">
      <c r="A638" s="48" t="s">
        <v>43</v>
      </c>
      <c r="C638">
        <v>-5000</v>
      </c>
      <c r="D638">
        <v>10000</v>
      </c>
      <c r="E638">
        <v>-11000</v>
      </c>
      <c r="F638">
        <v>0</v>
      </c>
      <c r="G638">
        <v>-11000</v>
      </c>
      <c r="H638">
        <v>-11000</v>
      </c>
      <c r="I638">
        <v>-11000</v>
      </c>
    </row>
    <row r="639" spans="1:9" x14ac:dyDescent="0.3">
      <c r="A639" s="48" t="s">
        <v>44</v>
      </c>
      <c r="C639">
        <v>-4000</v>
      </c>
      <c r="D639">
        <v>9000</v>
      </c>
      <c r="E639">
        <v>-12000</v>
      </c>
      <c r="F639">
        <v>-1000</v>
      </c>
      <c r="G639">
        <v>-12000</v>
      </c>
      <c r="H639">
        <v>-12000</v>
      </c>
      <c r="I639">
        <v>-12000</v>
      </c>
    </row>
    <row r="640" spans="1:9" x14ac:dyDescent="0.3">
      <c r="A640" s="48" t="s">
        <v>54</v>
      </c>
      <c r="C640">
        <v>-3000</v>
      </c>
      <c r="D640">
        <v>8000</v>
      </c>
      <c r="E640">
        <v>-13000</v>
      </c>
      <c r="F640">
        <v>-2000</v>
      </c>
      <c r="G640">
        <v>-13000</v>
      </c>
      <c r="H640">
        <v>-13000</v>
      </c>
      <c r="I640">
        <v>-13000</v>
      </c>
    </row>
    <row r="641" spans="1:9" x14ac:dyDescent="0.3">
      <c r="A641" s="48" t="s">
        <v>55</v>
      </c>
      <c r="C641">
        <v>-2000</v>
      </c>
      <c r="D641">
        <v>7000</v>
      </c>
      <c r="E641">
        <v>-14000</v>
      </c>
      <c r="F641">
        <v>-3000</v>
      </c>
      <c r="G641">
        <v>-14000</v>
      </c>
      <c r="H641">
        <v>-14000</v>
      </c>
      <c r="I641">
        <v>-14000</v>
      </c>
    </row>
    <row r="642" spans="1:9" x14ac:dyDescent="0.3">
      <c r="A642" s="48" t="s">
        <v>56</v>
      </c>
      <c r="C642">
        <v>-1000</v>
      </c>
      <c r="D642">
        <v>6000</v>
      </c>
      <c r="E642">
        <v>-15000</v>
      </c>
      <c r="F642">
        <v>-4000</v>
      </c>
      <c r="G642">
        <v>-15000</v>
      </c>
      <c r="H642">
        <v>-15000</v>
      </c>
      <c r="I642">
        <v>-15000</v>
      </c>
    </row>
    <row r="643" spans="1:9" x14ac:dyDescent="0.3">
      <c r="A643" s="48" t="s">
        <v>57</v>
      </c>
      <c r="C643">
        <v>0</v>
      </c>
      <c r="D643">
        <v>5000</v>
      </c>
      <c r="E643">
        <v>-16000</v>
      </c>
      <c r="F643">
        <v>-5000</v>
      </c>
      <c r="G643">
        <v>-16000</v>
      </c>
      <c r="H643">
        <v>-16000</v>
      </c>
      <c r="I643">
        <v>-16000</v>
      </c>
    </row>
    <row r="644" spans="1:9" x14ac:dyDescent="0.3">
      <c r="A644" s="48" t="s">
        <v>58</v>
      </c>
      <c r="C644">
        <v>1000</v>
      </c>
      <c r="D644">
        <v>4000</v>
      </c>
      <c r="E644">
        <v>-17000</v>
      </c>
      <c r="F644">
        <v>-6000</v>
      </c>
      <c r="G644">
        <v>-17000</v>
      </c>
      <c r="H644">
        <v>-17000</v>
      </c>
      <c r="I644">
        <v>-17000</v>
      </c>
    </row>
    <row r="645" spans="1:9" x14ac:dyDescent="0.3">
      <c r="A645" s="15" t="s">
        <v>62</v>
      </c>
    </row>
    <row r="646" spans="1:9" x14ac:dyDescent="0.3">
      <c r="A646" s="48" t="s">
        <v>35</v>
      </c>
      <c r="C646">
        <v>-9000</v>
      </c>
      <c r="D646">
        <v>15000</v>
      </c>
      <c r="E646">
        <v>-9000</v>
      </c>
      <c r="F646">
        <v>2000</v>
      </c>
      <c r="G646">
        <v>-9000</v>
      </c>
      <c r="H646">
        <v>-9000</v>
      </c>
      <c r="I646">
        <v>-9000</v>
      </c>
    </row>
    <row r="647" spans="1:9" x14ac:dyDescent="0.3">
      <c r="A647" s="48" t="s">
        <v>41</v>
      </c>
      <c r="C647">
        <v>-8000</v>
      </c>
      <c r="D647">
        <v>14000</v>
      </c>
      <c r="E647">
        <v>-10000</v>
      </c>
      <c r="F647">
        <v>1000</v>
      </c>
      <c r="G647">
        <v>-10000</v>
      </c>
      <c r="H647">
        <v>-10000</v>
      </c>
      <c r="I647">
        <v>-10000</v>
      </c>
    </row>
    <row r="648" spans="1:9" x14ac:dyDescent="0.3">
      <c r="A648" s="48" t="s">
        <v>42</v>
      </c>
      <c r="C648">
        <v>-7000</v>
      </c>
      <c r="D648">
        <v>13000</v>
      </c>
      <c r="E648">
        <v>-11000</v>
      </c>
      <c r="F648">
        <v>0</v>
      </c>
      <c r="G648">
        <v>-11000</v>
      </c>
      <c r="H648">
        <v>-11000</v>
      </c>
      <c r="I648">
        <v>-11000</v>
      </c>
    </row>
    <row r="649" spans="1:9" x14ac:dyDescent="0.3">
      <c r="A649" s="48" t="s">
        <v>43</v>
      </c>
      <c r="C649">
        <v>-6000</v>
      </c>
      <c r="D649">
        <v>12000</v>
      </c>
      <c r="E649">
        <v>-12000</v>
      </c>
      <c r="F649">
        <v>-1000</v>
      </c>
      <c r="G649">
        <v>-12000</v>
      </c>
      <c r="H649">
        <v>-12000</v>
      </c>
      <c r="I649">
        <v>-12000</v>
      </c>
    </row>
    <row r="650" spans="1:9" x14ac:dyDescent="0.3">
      <c r="A650" s="48" t="s">
        <v>44</v>
      </c>
      <c r="C650">
        <v>-5000</v>
      </c>
      <c r="D650">
        <v>11000</v>
      </c>
      <c r="E650">
        <v>-13000</v>
      </c>
      <c r="F650">
        <v>-2000</v>
      </c>
      <c r="G650">
        <v>-13000</v>
      </c>
      <c r="H650">
        <v>-13000</v>
      </c>
      <c r="I650">
        <v>-13000</v>
      </c>
    </row>
    <row r="651" spans="1:9" x14ac:dyDescent="0.3">
      <c r="A651" s="48" t="s">
        <v>54</v>
      </c>
      <c r="C651">
        <v>-4000</v>
      </c>
      <c r="D651">
        <v>10000</v>
      </c>
      <c r="E651">
        <v>-14000</v>
      </c>
      <c r="F651">
        <v>-3000</v>
      </c>
      <c r="G651">
        <v>-14000</v>
      </c>
      <c r="H651">
        <v>-14000</v>
      </c>
      <c r="I651">
        <v>-14000</v>
      </c>
    </row>
    <row r="652" spans="1:9" x14ac:dyDescent="0.3">
      <c r="A652" s="48" t="s">
        <v>55</v>
      </c>
      <c r="C652">
        <v>-3000</v>
      </c>
      <c r="D652">
        <v>9000</v>
      </c>
      <c r="E652">
        <v>-15000</v>
      </c>
      <c r="F652">
        <v>-4000</v>
      </c>
      <c r="G652">
        <v>-15000</v>
      </c>
      <c r="H652">
        <v>-15000</v>
      </c>
      <c r="I652">
        <v>-15000</v>
      </c>
    </row>
    <row r="653" spans="1:9" x14ac:dyDescent="0.3">
      <c r="A653" s="48" t="s">
        <v>56</v>
      </c>
      <c r="C653">
        <v>-2000</v>
      </c>
      <c r="D653">
        <v>8000</v>
      </c>
      <c r="E653">
        <v>-16000</v>
      </c>
      <c r="F653">
        <v>-5000</v>
      </c>
      <c r="G653">
        <v>-16000</v>
      </c>
      <c r="H653">
        <v>-16000</v>
      </c>
      <c r="I653">
        <v>-16000</v>
      </c>
    </row>
    <row r="654" spans="1:9" x14ac:dyDescent="0.3">
      <c r="A654" s="48" t="s">
        <v>57</v>
      </c>
      <c r="C654">
        <v>-1000</v>
      </c>
      <c r="D654">
        <v>7000</v>
      </c>
      <c r="E654">
        <v>-17000</v>
      </c>
      <c r="F654">
        <v>-6000</v>
      </c>
      <c r="G654">
        <v>-17000</v>
      </c>
      <c r="H654">
        <v>-17000</v>
      </c>
      <c r="I654">
        <v>-17000</v>
      </c>
    </row>
    <row r="655" spans="1:9" x14ac:dyDescent="0.3">
      <c r="A655" s="48" t="s">
        <v>58</v>
      </c>
      <c r="C655">
        <v>0</v>
      </c>
      <c r="D655">
        <v>6000</v>
      </c>
      <c r="E655">
        <v>-18000</v>
      </c>
      <c r="F655">
        <v>-7000</v>
      </c>
      <c r="G655">
        <v>-18000</v>
      </c>
      <c r="H655">
        <v>-18000</v>
      </c>
      <c r="I655">
        <v>-18000</v>
      </c>
    </row>
    <row r="656" spans="1:9" x14ac:dyDescent="0.3">
      <c r="A656" s="15" t="s">
        <v>63</v>
      </c>
    </row>
    <row r="657" spans="1:9" x14ac:dyDescent="0.3">
      <c r="A657" s="48" t="s">
        <v>35</v>
      </c>
      <c r="C657">
        <v>-10000</v>
      </c>
      <c r="D657">
        <v>17000</v>
      </c>
      <c r="E657">
        <v>-10000</v>
      </c>
      <c r="F657">
        <v>1000</v>
      </c>
      <c r="G657">
        <v>-10000</v>
      </c>
      <c r="H657">
        <v>-10000</v>
      </c>
      <c r="I657">
        <v>-10000</v>
      </c>
    </row>
    <row r="658" spans="1:9" x14ac:dyDescent="0.3">
      <c r="A658" s="48" t="s">
        <v>41</v>
      </c>
      <c r="C658">
        <v>-9000</v>
      </c>
      <c r="D658">
        <v>16000</v>
      </c>
      <c r="E658">
        <v>-11000</v>
      </c>
      <c r="F658">
        <v>0</v>
      </c>
      <c r="G658">
        <v>-11000</v>
      </c>
      <c r="H658">
        <v>-11000</v>
      </c>
      <c r="I658">
        <v>-11000</v>
      </c>
    </row>
    <row r="659" spans="1:9" x14ac:dyDescent="0.3">
      <c r="A659" s="48" t="s">
        <v>42</v>
      </c>
      <c r="C659">
        <v>-8000</v>
      </c>
      <c r="D659">
        <v>15000</v>
      </c>
      <c r="E659">
        <v>-12000</v>
      </c>
      <c r="F659">
        <v>-1000</v>
      </c>
      <c r="G659">
        <v>-12000</v>
      </c>
      <c r="H659">
        <v>-12000</v>
      </c>
      <c r="I659">
        <v>-12000</v>
      </c>
    </row>
    <row r="660" spans="1:9" x14ac:dyDescent="0.3">
      <c r="A660" s="48" t="s">
        <v>43</v>
      </c>
      <c r="C660">
        <v>-7000</v>
      </c>
      <c r="D660">
        <v>14000</v>
      </c>
      <c r="E660">
        <v>-13000</v>
      </c>
      <c r="F660">
        <v>-2000</v>
      </c>
      <c r="G660">
        <v>-13000</v>
      </c>
      <c r="H660">
        <v>-13000</v>
      </c>
      <c r="I660">
        <v>-13000</v>
      </c>
    </row>
    <row r="661" spans="1:9" x14ac:dyDescent="0.3">
      <c r="A661" s="48" t="s">
        <v>44</v>
      </c>
      <c r="C661">
        <v>-6000</v>
      </c>
      <c r="D661">
        <v>13000</v>
      </c>
      <c r="E661">
        <v>-14000</v>
      </c>
      <c r="F661">
        <v>-3000</v>
      </c>
      <c r="G661">
        <v>-14000</v>
      </c>
      <c r="H661">
        <v>-14000</v>
      </c>
      <c r="I661">
        <v>-14000</v>
      </c>
    </row>
    <row r="662" spans="1:9" x14ac:dyDescent="0.3">
      <c r="A662" s="48" t="s">
        <v>54</v>
      </c>
      <c r="C662">
        <v>-5000</v>
      </c>
      <c r="D662">
        <v>12000</v>
      </c>
      <c r="E662">
        <v>-15000</v>
      </c>
      <c r="F662">
        <v>-4000</v>
      </c>
      <c r="G662">
        <v>-15000</v>
      </c>
      <c r="H662">
        <v>-15000</v>
      </c>
      <c r="I662">
        <v>-15000</v>
      </c>
    </row>
    <row r="663" spans="1:9" x14ac:dyDescent="0.3">
      <c r="A663" s="48" t="s">
        <v>55</v>
      </c>
      <c r="C663">
        <v>-4000</v>
      </c>
      <c r="D663">
        <v>11000</v>
      </c>
      <c r="E663">
        <v>-16000</v>
      </c>
      <c r="F663">
        <v>-5000</v>
      </c>
      <c r="G663">
        <v>-16000</v>
      </c>
      <c r="H663">
        <v>-16000</v>
      </c>
      <c r="I663">
        <v>-16000</v>
      </c>
    </row>
    <row r="664" spans="1:9" x14ac:dyDescent="0.3">
      <c r="A664" s="48" t="s">
        <v>56</v>
      </c>
      <c r="C664">
        <v>-3000</v>
      </c>
      <c r="D664">
        <v>10000</v>
      </c>
      <c r="E664">
        <v>-17000</v>
      </c>
      <c r="F664">
        <v>-6000</v>
      </c>
      <c r="G664">
        <v>-17000</v>
      </c>
      <c r="H664">
        <v>-17000</v>
      </c>
      <c r="I664">
        <v>-17000</v>
      </c>
    </row>
    <row r="665" spans="1:9" x14ac:dyDescent="0.3">
      <c r="A665" s="48" t="s">
        <v>57</v>
      </c>
      <c r="C665">
        <v>-2000</v>
      </c>
      <c r="D665">
        <v>9000</v>
      </c>
      <c r="E665">
        <v>-18000</v>
      </c>
      <c r="F665">
        <v>-7000</v>
      </c>
      <c r="G665">
        <v>-18000</v>
      </c>
      <c r="H665">
        <v>-18000</v>
      </c>
      <c r="I665">
        <v>-18000</v>
      </c>
    </row>
    <row r="666" spans="1:9" x14ac:dyDescent="0.3">
      <c r="A666" s="48" t="s">
        <v>58</v>
      </c>
      <c r="C666">
        <v>-1000</v>
      </c>
      <c r="D666">
        <v>8000</v>
      </c>
      <c r="E666">
        <v>-19000</v>
      </c>
      <c r="F666">
        <v>-8000</v>
      </c>
      <c r="G666">
        <v>-19000</v>
      </c>
      <c r="H666">
        <v>-19000</v>
      </c>
      <c r="I666">
        <v>-19000</v>
      </c>
    </row>
    <row r="667" spans="1:9" x14ac:dyDescent="0.3">
      <c r="A667" s="14" t="s">
        <v>49</v>
      </c>
    </row>
    <row r="668" spans="1:9" x14ac:dyDescent="0.3">
      <c r="A668" s="15" t="s">
        <v>34</v>
      </c>
    </row>
    <row r="669" spans="1:9" x14ac:dyDescent="0.3">
      <c r="A669" s="49" t="s">
        <v>35</v>
      </c>
      <c r="C669">
        <v>-2000</v>
      </c>
      <c r="D669">
        <v>-2000</v>
      </c>
      <c r="E669">
        <v>4000</v>
      </c>
      <c r="F669">
        <v>9000</v>
      </c>
      <c r="G669">
        <v>-2000</v>
      </c>
      <c r="H669">
        <v>-2000</v>
      </c>
      <c r="I669">
        <v>-2000</v>
      </c>
    </row>
    <row r="670" spans="1:9" x14ac:dyDescent="0.3">
      <c r="A670" s="49" t="s">
        <v>41</v>
      </c>
      <c r="C670">
        <v>-1000</v>
      </c>
      <c r="D670">
        <v>-3000</v>
      </c>
      <c r="E670">
        <v>3000</v>
      </c>
      <c r="F670">
        <v>8000</v>
      </c>
      <c r="G670">
        <v>-3000</v>
      </c>
      <c r="H670">
        <v>-3000</v>
      </c>
      <c r="I670">
        <v>-3000</v>
      </c>
    </row>
    <row r="671" spans="1:9" x14ac:dyDescent="0.3">
      <c r="A671" s="49" t="s">
        <v>42</v>
      </c>
      <c r="C671">
        <v>0</v>
      </c>
      <c r="D671">
        <v>-4000</v>
      </c>
      <c r="E671">
        <v>2000</v>
      </c>
      <c r="F671">
        <v>7000</v>
      </c>
      <c r="G671">
        <v>-4000</v>
      </c>
      <c r="H671">
        <v>-4000</v>
      </c>
      <c r="I671">
        <v>-4000</v>
      </c>
    </row>
    <row r="672" spans="1:9" x14ac:dyDescent="0.3">
      <c r="A672" s="49" t="s">
        <v>43</v>
      </c>
      <c r="C672">
        <v>1000</v>
      </c>
      <c r="D672">
        <v>-5000</v>
      </c>
      <c r="E672">
        <v>1000</v>
      </c>
      <c r="F672">
        <v>6000</v>
      </c>
      <c r="G672">
        <v>-5000</v>
      </c>
      <c r="H672">
        <v>-5000</v>
      </c>
      <c r="I672">
        <v>-5000</v>
      </c>
    </row>
    <row r="673" spans="1:9" x14ac:dyDescent="0.3">
      <c r="A673" s="49" t="s">
        <v>44</v>
      </c>
      <c r="C673">
        <v>2000</v>
      </c>
      <c r="D673">
        <v>-6000</v>
      </c>
      <c r="E673">
        <v>0</v>
      </c>
      <c r="F673">
        <v>5000</v>
      </c>
      <c r="G673">
        <v>-6000</v>
      </c>
      <c r="H673">
        <v>-6000</v>
      </c>
      <c r="I673">
        <v>-6000</v>
      </c>
    </row>
    <row r="674" spans="1:9" x14ac:dyDescent="0.3">
      <c r="A674" s="48" t="s">
        <v>54</v>
      </c>
      <c r="C674">
        <v>3000</v>
      </c>
      <c r="D674">
        <v>-7000</v>
      </c>
      <c r="E674">
        <v>-1000</v>
      </c>
      <c r="F674">
        <v>4000</v>
      </c>
      <c r="G674">
        <v>-7000</v>
      </c>
      <c r="H674">
        <v>-7000</v>
      </c>
      <c r="I674">
        <v>-7000</v>
      </c>
    </row>
    <row r="675" spans="1:9" x14ac:dyDescent="0.3">
      <c r="A675" s="48" t="s">
        <v>55</v>
      </c>
      <c r="C675">
        <v>4000</v>
      </c>
      <c r="D675">
        <v>-8000</v>
      </c>
      <c r="E675">
        <v>-2000</v>
      </c>
      <c r="F675">
        <v>3000</v>
      </c>
      <c r="G675">
        <v>-8000</v>
      </c>
      <c r="H675">
        <v>-8000</v>
      </c>
      <c r="I675">
        <v>-8000</v>
      </c>
    </row>
    <row r="676" spans="1:9" x14ac:dyDescent="0.3">
      <c r="A676" s="48" t="s">
        <v>56</v>
      </c>
      <c r="C676">
        <v>5000</v>
      </c>
      <c r="D676">
        <v>-9000</v>
      </c>
      <c r="E676">
        <v>-3000</v>
      </c>
      <c r="F676">
        <v>2000</v>
      </c>
      <c r="G676">
        <v>-9000</v>
      </c>
      <c r="H676">
        <v>-9000</v>
      </c>
      <c r="I676">
        <v>-9000</v>
      </c>
    </row>
    <row r="677" spans="1:9" x14ac:dyDescent="0.3">
      <c r="A677" s="48" t="s">
        <v>57</v>
      </c>
      <c r="C677">
        <v>6000</v>
      </c>
      <c r="D677">
        <v>-10000</v>
      </c>
      <c r="E677">
        <v>-4000</v>
      </c>
      <c r="F677">
        <v>1000</v>
      </c>
      <c r="G677">
        <v>-10000</v>
      </c>
      <c r="H677">
        <v>-10000</v>
      </c>
      <c r="I677">
        <v>-10000</v>
      </c>
    </row>
    <row r="678" spans="1:9" x14ac:dyDescent="0.3">
      <c r="A678" s="48" t="s">
        <v>58</v>
      </c>
      <c r="C678">
        <v>7000</v>
      </c>
      <c r="D678">
        <v>-11000</v>
      </c>
      <c r="E678">
        <v>-5000</v>
      </c>
      <c r="F678">
        <v>0</v>
      </c>
      <c r="G678">
        <v>-11000</v>
      </c>
      <c r="H678">
        <v>-11000</v>
      </c>
      <c r="I678">
        <v>-11000</v>
      </c>
    </row>
    <row r="679" spans="1:9" x14ac:dyDescent="0.3">
      <c r="A679" s="15" t="s">
        <v>46</v>
      </c>
    </row>
    <row r="680" spans="1:9" x14ac:dyDescent="0.3">
      <c r="A680" s="49" t="s">
        <v>35</v>
      </c>
      <c r="C680">
        <v>-4000</v>
      </c>
      <c r="D680">
        <v>2000</v>
      </c>
      <c r="E680">
        <v>2000</v>
      </c>
      <c r="F680">
        <v>7000</v>
      </c>
      <c r="G680">
        <v>-4000</v>
      </c>
      <c r="H680">
        <v>-4000</v>
      </c>
      <c r="I680">
        <v>-4000</v>
      </c>
    </row>
    <row r="681" spans="1:9" x14ac:dyDescent="0.3">
      <c r="A681" s="49" t="s">
        <v>41</v>
      </c>
      <c r="C681">
        <v>-3000</v>
      </c>
      <c r="D681">
        <v>1000</v>
      </c>
      <c r="E681">
        <v>1000</v>
      </c>
      <c r="F681">
        <v>6000</v>
      </c>
      <c r="G681">
        <v>-5000</v>
      </c>
      <c r="H681">
        <v>-5000</v>
      </c>
      <c r="I681">
        <v>-5000</v>
      </c>
    </row>
    <row r="682" spans="1:9" x14ac:dyDescent="0.3">
      <c r="A682" s="49" t="s">
        <v>42</v>
      </c>
      <c r="C682">
        <v>-2000</v>
      </c>
      <c r="D682">
        <v>0</v>
      </c>
      <c r="E682">
        <v>0</v>
      </c>
      <c r="F682">
        <v>5000</v>
      </c>
      <c r="G682">
        <v>-6000</v>
      </c>
      <c r="H682">
        <v>-6000</v>
      </c>
      <c r="I682">
        <v>-6000</v>
      </c>
    </row>
    <row r="683" spans="1:9" x14ac:dyDescent="0.3">
      <c r="A683" s="49" t="s">
        <v>43</v>
      </c>
      <c r="C683">
        <v>-1000</v>
      </c>
      <c r="D683">
        <v>-1000</v>
      </c>
      <c r="E683">
        <v>-1000</v>
      </c>
      <c r="F683">
        <v>4000</v>
      </c>
      <c r="G683">
        <v>-7000</v>
      </c>
      <c r="H683">
        <v>-7000</v>
      </c>
      <c r="I683">
        <v>-7000</v>
      </c>
    </row>
    <row r="684" spans="1:9" x14ac:dyDescent="0.3">
      <c r="A684" s="48" t="s">
        <v>44</v>
      </c>
      <c r="C684">
        <v>0</v>
      </c>
      <c r="D684">
        <v>-2000</v>
      </c>
      <c r="E684">
        <v>-2000</v>
      </c>
      <c r="F684">
        <v>3000</v>
      </c>
      <c r="G684">
        <v>-8000</v>
      </c>
      <c r="H684">
        <v>-8000</v>
      </c>
      <c r="I684">
        <v>-8000</v>
      </c>
    </row>
    <row r="685" spans="1:9" x14ac:dyDescent="0.3">
      <c r="A685" s="48" t="s">
        <v>54</v>
      </c>
      <c r="C685">
        <v>1000</v>
      </c>
      <c r="D685">
        <v>-3000</v>
      </c>
      <c r="E685">
        <v>-3000</v>
      </c>
      <c r="F685">
        <v>2000</v>
      </c>
      <c r="G685">
        <v>-9000</v>
      </c>
      <c r="H685">
        <v>-9000</v>
      </c>
      <c r="I685">
        <v>-9000</v>
      </c>
    </row>
    <row r="686" spans="1:9" x14ac:dyDescent="0.3">
      <c r="A686" s="48" t="s">
        <v>55</v>
      </c>
      <c r="C686">
        <v>2000</v>
      </c>
      <c r="D686">
        <v>-4000</v>
      </c>
      <c r="E686">
        <v>-4000</v>
      </c>
      <c r="F686">
        <v>1000</v>
      </c>
      <c r="G686">
        <v>-10000</v>
      </c>
      <c r="H686">
        <v>-10000</v>
      </c>
      <c r="I686">
        <v>-10000</v>
      </c>
    </row>
    <row r="687" spans="1:9" x14ac:dyDescent="0.3">
      <c r="A687" s="48" t="s">
        <v>56</v>
      </c>
      <c r="C687">
        <v>3000</v>
      </c>
      <c r="D687">
        <v>-5000</v>
      </c>
      <c r="E687">
        <v>-5000</v>
      </c>
      <c r="F687">
        <v>0</v>
      </c>
      <c r="G687">
        <v>-11000</v>
      </c>
      <c r="H687">
        <v>-11000</v>
      </c>
      <c r="I687">
        <v>-11000</v>
      </c>
    </row>
    <row r="688" spans="1:9" x14ac:dyDescent="0.3">
      <c r="A688" s="48" t="s">
        <v>57</v>
      </c>
      <c r="C688">
        <v>4000</v>
      </c>
      <c r="D688">
        <v>-6000</v>
      </c>
      <c r="E688">
        <v>-6000</v>
      </c>
      <c r="F688">
        <v>-1000</v>
      </c>
      <c r="G688">
        <v>-12000</v>
      </c>
      <c r="H688">
        <v>-12000</v>
      </c>
      <c r="I688">
        <v>-12000</v>
      </c>
    </row>
    <row r="689" spans="1:9" x14ac:dyDescent="0.3">
      <c r="A689" s="48" t="s">
        <v>58</v>
      </c>
      <c r="C689">
        <v>5000</v>
      </c>
      <c r="D689">
        <v>-7000</v>
      </c>
      <c r="E689">
        <v>-7000</v>
      </c>
      <c r="F689">
        <v>-2000</v>
      </c>
      <c r="G689">
        <v>-13000</v>
      </c>
      <c r="H689">
        <v>-13000</v>
      </c>
      <c r="I689">
        <v>-13000</v>
      </c>
    </row>
    <row r="690" spans="1:9" x14ac:dyDescent="0.3">
      <c r="A690" s="15" t="s">
        <v>47</v>
      </c>
    </row>
    <row r="691" spans="1:9" x14ac:dyDescent="0.3">
      <c r="A691" s="49" t="s">
        <v>35</v>
      </c>
      <c r="C691">
        <v>-5000</v>
      </c>
      <c r="D691">
        <v>4000</v>
      </c>
      <c r="E691">
        <v>1000</v>
      </c>
      <c r="F691">
        <v>6000</v>
      </c>
      <c r="G691">
        <v>-5000</v>
      </c>
      <c r="H691">
        <v>-5000</v>
      </c>
      <c r="I691">
        <v>-5000</v>
      </c>
    </row>
    <row r="692" spans="1:9" x14ac:dyDescent="0.3">
      <c r="A692" s="49" t="s">
        <v>41</v>
      </c>
      <c r="C692">
        <v>-4000</v>
      </c>
      <c r="D692">
        <v>3000</v>
      </c>
      <c r="E692">
        <v>0</v>
      </c>
      <c r="F692">
        <v>5000</v>
      </c>
      <c r="G692">
        <v>-6000</v>
      </c>
      <c r="H692">
        <v>-6000</v>
      </c>
      <c r="I692">
        <v>-6000</v>
      </c>
    </row>
    <row r="693" spans="1:9" x14ac:dyDescent="0.3">
      <c r="A693" s="49" t="s">
        <v>42</v>
      </c>
      <c r="C693">
        <v>-3000</v>
      </c>
      <c r="D693">
        <v>2000</v>
      </c>
      <c r="E693">
        <v>-1000</v>
      </c>
      <c r="F693">
        <v>4000</v>
      </c>
      <c r="G693">
        <v>-7000</v>
      </c>
      <c r="H693">
        <v>-7000</v>
      </c>
      <c r="I693">
        <v>-7000</v>
      </c>
    </row>
    <row r="694" spans="1:9" x14ac:dyDescent="0.3">
      <c r="A694" s="49" t="s">
        <v>43</v>
      </c>
      <c r="C694">
        <v>-2000</v>
      </c>
      <c r="D694">
        <v>1000</v>
      </c>
      <c r="E694">
        <v>-2000</v>
      </c>
      <c r="F694">
        <v>3000</v>
      </c>
      <c r="G694">
        <v>-8000</v>
      </c>
      <c r="H694">
        <v>-8000</v>
      </c>
      <c r="I694">
        <v>-8000</v>
      </c>
    </row>
    <row r="695" spans="1:9" x14ac:dyDescent="0.3">
      <c r="A695" s="48" t="s">
        <v>44</v>
      </c>
      <c r="C695">
        <v>-1000</v>
      </c>
      <c r="D695">
        <v>0</v>
      </c>
      <c r="E695">
        <v>-3000</v>
      </c>
      <c r="F695">
        <v>2000</v>
      </c>
      <c r="G695">
        <v>-9000</v>
      </c>
      <c r="H695">
        <v>-9000</v>
      </c>
      <c r="I695">
        <v>-9000</v>
      </c>
    </row>
    <row r="696" spans="1:9" x14ac:dyDescent="0.3">
      <c r="A696" s="48" t="s">
        <v>54</v>
      </c>
      <c r="C696">
        <v>0</v>
      </c>
      <c r="D696">
        <v>-1000</v>
      </c>
      <c r="E696">
        <v>-4000</v>
      </c>
      <c r="F696">
        <v>1000</v>
      </c>
      <c r="G696">
        <v>-10000</v>
      </c>
      <c r="H696">
        <v>-10000</v>
      </c>
      <c r="I696">
        <v>-10000</v>
      </c>
    </row>
    <row r="697" spans="1:9" x14ac:dyDescent="0.3">
      <c r="A697" s="48" t="s">
        <v>55</v>
      </c>
      <c r="C697">
        <v>1000</v>
      </c>
      <c r="D697">
        <v>-2000</v>
      </c>
      <c r="E697">
        <v>-5000</v>
      </c>
      <c r="F697">
        <v>0</v>
      </c>
      <c r="G697">
        <v>-11000</v>
      </c>
      <c r="H697">
        <v>-11000</v>
      </c>
      <c r="I697">
        <v>-11000</v>
      </c>
    </row>
    <row r="698" spans="1:9" x14ac:dyDescent="0.3">
      <c r="A698" s="48" t="s">
        <v>56</v>
      </c>
      <c r="C698">
        <v>2000</v>
      </c>
      <c r="D698">
        <v>-3000</v>
      </c>
      <c r="E698">
        <v>-6000</v>
      </c>
      <c r="F698">
        <v>-1000</v>
      </c>
      <c r="G698">
        <v>-12000</v>
      </c>
      <c r="H698">
        <v>-12000</v>
      </c>
      <c r="I698">
        <v>-12000</v>
      </c>
    </row>
    <row r="699" spans="1:9" x14ac:dyDescent="0.3">
      <c r="A699" s="48" t="s">
        <v>57</v>
      </c>
      <c r="C699">
        <v>3000</v>
      </c>
      <c r="D699">
        <v>-4000</v>
      </c>
      <c r="E699">
        <v>-7000</v>
      </c>
      <c r="F699">
        <v>-2000</v>
      </c>
      <c r="G699">
        <v>-13000</v>
      </c>
      <c r="H699">
        <v>-13000</v>
      </c>
      <c r="I699">
        <v>-13000</v>
      </c>
    </row>
    <row r="700" spans="1:9" x14ac:dyDescent="0.3">
      <c r="A700" s="48" t="s">
        <v>58</v>
      </c>
      <c r="C700">
        <v>4000</v>
      </c>
      <c r="D700">
        <v>-5000</v>
      </c>
      <c r="E700">
        <v>-8000</v>
      </c>
      <c r="F700">
        <v>-3000</v>
      </c>
      <c r="G700">
        <v>-14000</v>
      </c>
      <c r="H700">
        <v>-14000</v>
      </c>
      <c r="I700">
        <v>-14000</v>
      </c>
    </row>
    <row r="701" spans="1:9" x14ac:dyDescent="0.3">
      <c r="A701" s="15" t="s">
        <v>48</v>
      </c>
    </row>
    <row r="702" spans="1:9" x14ac:dyDescent="0.3">
      <c r="A702" s="49" t="s">
        <v>35</v>
      </c>
      <c r="C702">
        <v>-6000</v>
      </c>
      <c r="D702">
        <v>6000</v>
      </c>
      <c r="E702">
        <v>0</v>
      </c>
      <c r="F702">
        <v>5000</v>
      </c>
      <c r="G702">
        <v>-6000</v>
      </c>
      <c r="H702">
        <v>-6000</v>
      </c>
      <c r="I702">
        <v>-6000</v>
      </c>
    </row>
    <row r="703" spans="1:9" x14ac:dyDescent="0.3">
      <c r="A703" s="49" t="s">
        <v>41</v>
      </c>
      <c r="C703">
        <v>-5000</v>
      </c>
      <c r="D703">
        <v>5000</v>
      </c>
      <c r="E703">
        <v>-1000</v>
      </c>
      <c r="F703">
        <v>4000</v>
      </c>
      <c r="G703">
        <v>-7000</v>
      </c>
      <c r="H703">
        <v>-7000</v>
      </c>
      <c r="I703">
        <v>-7000</v>
      </c>
    </row>
    <row r="704" spans="1:9" x14ac:dyDescent="0.3">
      <c r="A704" s="49" t="s">
        <v>42</v>
      </c>
      <c r="C704">
        <v>-4000</v>
      </c>
      <c r="D704">
        <v>4000</v>
      </c>
      <c r="E704">
        <v>-2000</v>
      </c>
      <c r="F704">
        <v>3000</v>
      </c>
      <c r="G704">
        <v>-8000</v>
      </c>
      <c r="H704">
        <v>-8000</v>
      </c>
      <c r="I704">
        <v>-8000</v>
      </c>
    </row>
    <row r="705" spans="1:9" x14ac:dyDescent="0.3">
      <c r="A705" s="48" t="s">
        <v>43</v>
      </c>
      <c r="C705">
        <v>-3000</v>
      </c>
      <c r="D705">
        <v>3000</v>
      </c>
      <c r="E705">
        <v>-3000</v>
      </c>
      <c r="F705">
        <v>2000</v>
      </c>
      <c r="G705">
        <v>-9000</v>
      </c>
      <c r="H705">
        <v>-9000</v>
      </c>
      <c r="I705">
        <v>-9000</v>
      </c>
    </row>
    <row r="706" spans="1:9" x14ac:dyDescent="0.3">
      <c r="A706" s="48" t="s">
        <v>44</v>
      </c>
      <c r="C706">
        <v>-2000</v>
      </c>
      <c r="D706">
        <v>2000</v>
      </c>
      <c r="E706">
        <v>-4000</v>
      </c>
      <c r="F706">
        <v>1000</v>
      </c>
      <c r="G706">
        <v>-10000</v>
      </c>
      <c r="H706">
        <v>-10000</v>
      </c>
      <c r="I706">
        <v>-10000</v>
      </c>
    </row>
    <row r="707" spans="1:9" x14ac:dyDescent="0.3">
      <c r="A707" s="48" t="s">
        <v>54</v>
      </c>
      <c r="C707">
        <v>-1000</v>
      </c>
      <c r="D707">
        <v>1000</v>
      </c>
      <c r="E707">
        <v>-5000</v>
      </c>
      <c r="F707">
        <v>0</v>
      </c>
      <c r="G707">
        <v>-11000</v>
      </c>
      <c r="H707">
        <v>-11000</v>
      </c>
      <c r="I707">
        <v>-11000</v>
      </c>
    </row>
    <row r="708" spans="1:9" x14ac:dyDescent="0.3">
      <c r="A708" s="48" t="s">
        <v>55</v>
      </c>
      <c r="C708">
        <v>0</v>
      </c>
      <c r="D708">
        <v>0</v>
      </c>
      <c r="E708">
        <v>-6000</v>
      </c>
      <c r="F708">
        <v>-1000</v>
      </c>
      <c r="G708">
        <v>-12000</v>
      </c>
      <c r="H708">
        <v>-12000</v>
      </c>
      <c r="I708">
        <v>-12000</v>
      </c>
    </row>
    <row r="709" spans="1:9" x14ac:dyDescent="0.3">
      <c r="A709" s="48" t="s">
        <v>56</v>
      </c>
      <c r="C709">
        <v>1000</v>
      </c>
      <c r="D709">
        <v>-1000</v>
      </c>
      <c r="E709">
        <v>-7000</v>
      </c>
      <c r="F709">
        <v>-2000</v>
      </c>
      <c r="G709">
        <v>-13000</v>
      </c>
      <c r="H709">
        <v>-13000</v>
      </c>
      <c r="I709">
        <v>-13000</v>
      </c>
    </row>
    <row r="710" spans="1:9" x14ac:dyDescent="0.3">
      <c r="A710" s="48" t="s">
        <v>57</v>
      </c>
      <c r="C710">
        <v>2000</v>
      </c>
      <c r="D710">
        <v>-2000</v>
      </c>
      <c r="E710">
        <v>-8000</v>
      </c>
      <c r="F710">
        <v>-3000</v>
      </c>
      <c r="G710">
        <v>-14000</v>
      </c>
      <c r="H710">
        <v>-14000</v>
      </c>
      <c r="I710">
        <v>-14000</v>
      </c>
    </row>
    <row r="711" spans="1:9" x14ac:dyDescent="0.3">
      <c r="A711" s="48" t="s">
        <v>58</v>
      </c>
      <c r="C711">
        <v>3000</v>
      </c>
      <c r="D711">
        <v>-3000</v>
      </c>
      <c r="E711">
        <v>-9000</v>
      </c>
      <c r="F711">
        <v>-4000</v>
      </c>
      <c r="G711">
        <v>-15000</v>
      </c>
      <c r="H711">
        <v>-15000</v>
      </c>
      <c r="I711">
        <v>-15000</v>
      </c>
    </row>
    <row r="712" spans="1:9" x14ac:dyDescent="0.3">
      <c r="A712" s="15" t="s">
        <v>59</v>
      </c>
    </row>
    <row r="713" spans="1:9" x14ac:dyDescent="0.3">
      <c r="A713" s="49" t="s">
        <v>35</v>
      </c>
      <c r="C713">
        <v>-7000</v>
      </c>
      <c r="D713">
        <v>8000</v>
      </c>
      <c r="E713">
        <v>-1000</v>
      </c>
      <c r="F713">
        <v>4000</v>
      </c>
      <c r="G713">
        <v>-7000</v>
      </c>
      <c r="H713">
        <v>-7000</v>
      </c>
      <c r="I713">
        <v>-7000</v>
      </c>
    </row>
    <row r="714" spans="1:9" x14ac:dyDescent="0.3">
      <c r="A714" s="49" t="s">
        <v>41</v>
      </c>
      <c r="C714">
        <v>-6000</v>
      </c>
      <c r="D714">
        <v>7000</v>
      </c>
      <c r="E714">
        <v>-2000</v>
      </c>
      <c r="F714">
        <v>3000</v>
      </c>
      <c r="G714">
        <v>-8000</v>
      </c>
      <c r="H714">
        <v>-8000</v>
      </c>
      <c r="I714">
        <v>-8000</v>
      </c>
    </row>
    <row r="715" spans="1:9" x14ac:dyDescent="0.3">
      <c r="A715" s="49" t="s">
        <v>42</v>
      </c>
      <c r="C715">
        <v>-5000</v>
      </c>
      <c r="D715">
        <v>6000</v>
      </c>
      <c r="E715">
        <v>-3000</v>
      </c>
      <c r="F715">
        <v>2000</v>
      </c>
      <c r="G715">
        <v>-9000</v>
      </c>
      <c r="H715">
        <v>-9000</v>
      </c>
      <c r="I715">
        <v>-9000</v>
      </c>
    </row>
    <row r="716" spans="1:9" x14ac:dyDescent="0.3">
      <c r="A716" s="48" t="s">
        <v>43</v>
      </c>
      <c r="C716">
        <v>-4000</v>
      </c>
      <c r="D716">
        <v>5000</v>
      </c>
      <c r="E716">
        <v>-4000</v>
      </c>
      <c r="F716">
        <v>1000</v>
      </c>
      <c r="G716">
        <v>-10000</v>
      </c>
      <c r="H716">
        <v>-10000</v>
      </c>
      <c r="I716">
        <v>-10000</v>
      </c>
    </row>
    <row r="717" spans="1:9" x14ac:dyDescent="0.3">
      <c r="A717" s="48" t="s">
        <v>44</v>
      </c>
      <c r="C717">
        <v>-3000</v>
      </c>
      <c r="D717">
        <v>4000</v>
      </c>
      <c r="E717">
        <v>-5000</v>
      </c>
      <c r="F717">
        <v>0</v>
      </c>
      <c r="G717">
        <v>-11000</v>
      </c>
      <c r="H717">
        <v>-11000</v>
      </c>
      <c r="I717">
        <v>-11000</v>
      </c>
    </row>
    <row r="718" spans="1:9" x14ac:dyDescent="0.3">
      <c r="A718" s="48" t="s">
        <v>54</v>
      </c>
      <c r="C718">
        <v>-2000</v>
      </c>
      <c r="D718">
        <v>3000</v>
      </c>
      <c r="E718">
        <v>-6000</v>
      </c>
      <c r="F718">
        <v>-1000</v>
      </c>
      <c r="G718">
        <v>-12000</v>
      </c>
      <c r="H718">
        <v>-12000</v>
      </c>
      <c r="I718">
        <v>-12000</v>
      </c>
    </row>
    <row r="719" spans="1:9" x14ac:dyDescent="0.3">
      <c r="A719" s="48" t="s">
        <v>55</v>
      </c>
      <c r="C719">
        <v>-1000</v>
      </c>
      <c r="D719">
        <v>2000</v>
      </c>
      <c r="E719">
        <v>-7000</v>
      </c>
      <c r="F719">
        <v>-2000</v>
      </c>
      <c r="G719">
        <v>-13000</v>
      </c>
      <c r="H719">
        <v>-13000</v>
      </c>
      <c r="I719">
        <v>-13000</v>
      </c>
    </row>
    <row r="720" spans="1:9" x14ac:dyDescent="0.3">
      <c r="A720" s="48" t="s">
        <v>56</v>
      </c>
      <c r="C720">
        <v>0</v>
      </c>
      <c r="D720">
        <v>1000</v>
      </c>
      <c r="E720">
        <v>-8000</v>
      </c>
      <c r="F720">
        <v>-3000</v>
      </c>
      <c r="G720">
        <v>-14000</v>
      </c>
      <c r="H720">
        <v>-14000</v>
      </c>
      <c r="I720">
        <v>-14000</v>
      </c>
    </row>
    <row r="721" spans="1:9" x14ac:dyDescent="0.3">
      <c r="A721" s="48" t="s">
        <v>57</v>
      </c>
      <c r="C721">
        <v>1000</v>
      </c>
      <c r="D721">
        <v>0</v>
      </c>
      <c r="E721">
        <v>-9000</v>
      </c>
      <c r="F721">
        <v>-4000</v>
      </c>
      <c r="G721">
        <v>-15000</v>
      </c>
      <c r="H721">
        <v>-15000</v>
      </c>
      <c r="I721">
        <v>-15000</v>
      </c>
    </row>
    <row r="722" spans="1:9" x14ac:dyDescent="0.3">
      <c r="A722" s="48" t="s">
        <v>58</v>
      </c>
      <c r="C722">
        <v>2000</v>
      </c>
      <c r="D722">
        <v>-1000</v>
      </c>
      <c r="E722">
        <v>-10000</v>
      </c>
      <c r="F722">
        <v>-5000</v>
      </c>
      <c r="G722">
        <v>-16000</v>
      </c>
      <c r="H722">
        <v>-16000</v>
      </c>
      <c r="I722">
        <v>-16000</v>
      </c>
    </row>
    <row r="723" spans="1:9" x14ac:dyDescent="0.3">
      <c r="A723" s="15" t="s">
        <v>60</v>
      </c>
    </row>
    <row r="724" spans="1:9" x14ac:dyDescent="0.3">
      <c r="A724" s="49" t="s">
        <v>35</v>
      </c>
      <c r="C724">
        <v>-8000</v>
      </c>
      <c r="D724">
        <v>10000</v>
      </c>
      <c r="E724">
        <v>-2000</v>
      </c>
      <c r="F724">
        <v>3000</v>
      </c>
      <c r="G724">
        <v>-8000</v>
      </c>
      <c r="H724">
        <v>-8000</v>
      </c>
      <c r="I724">
        <v>-8000</v>
      </c>
    </row>
    <row r="725" spans="1:9" x14ac:dyDescent="0.3">
      <c r="A725" s="49" t="s">
        <v>41</v>
      </c>
      <c r="C725">
        <v>-7000</v>
      </c>
      <c r="D725">
        <v>9000</v>
      </c>
      <c r="E725">
        <v>-3000</v>
      </c>
      <c r="F725">
        <v>2000</v>
      </c>
      <c r="G725">
        <v>-9000</v>
      </c>
      <c r="H725">
        <v>-9000</v>
      </c>
      <c r="I725">
        <v>-9000</v>
      </c>
    </row>
    <row r="726" spans="1:9" x14ac:dyDescent="0.3">
      <c r="A726" s="48" t="s">
        <v>42</v>
      </c>
      <c r="C726">
        <v>-6000</v>
      </c>
      <c r="D726">
        <v>8000</v>
      </c>
      <c r="E726">
        <v>-4000</v>
      </c>
      <c r="F726">
        <v>1000</v>
      </c>
      <c r="G726">
        <v>-10000</v>
      </c>
      <c r="H726">
        <v>-10000</v>
      </c>
      <c r="I726">
        <v>-10000</v>
      </c>
    </row>
    <row r="727" spans="1:9" x14ac:dyDescent="0.3">
      <c r="A727" s="48" t="s">
        <v>43</v>
      </c>
      <c r="C727">
        <v>-5000</v>
      </c>
      <c r="D727">
        <v>7000</v>
      </c>
      <c r="E727">
        <v>-5000</v>
      </c>
      <c r="F727">
        <v>0</v>
      </c>
      <c r="G727">
        <v>-11000</v>
      </c>
      <c r="H727">
        <v>-11000</v>
      </c>
      <c r="I727">
        <v>-11000</v>
      </c>
    </row>
    <row r="728" spans="1:9" x14ac:dyDescent="0.3">
      <c r="A728" s="48" t="s">
        <v>44</v>
      </c>
      <c r="C728">
        <v>-4000</v>
      </c>
      <c r="D728">
        <v>6000</v>
      </c>
      <c r="E728">
        <v>-6000</v>
      </c>
      <c r="F728">
        <v>-1000</v>
      </c>
      <c r="G728">
        <v>-12000</v>
      </c>
      <c r="H728">
        <v>-12000</v>
      </c>
      <c r="I728">
        <v>-12000</v>
      </c>
    </row>
    <row r="729" spans="1:9" x14ac:dyDescent="0.3">
      <c r="A729" s="48" t="s">
        <v>54</v>
      </c>
      <c r="C729">
        <v>-3000</v>
      </c>
      <c r="D729">
        <v>5000</v>
      </c>
      <c r="E729">
        <v>-7000</v>
      </c>
      <c r="F729">
        <v>-2000</v>
      </c>
      <c r="G729">
        <v>-13000</v>
      </c>
      <c r="H729">
        <v>-13000</v>
      </c>
      <c r="I729">
        <v>-13000</v>
      </c>
    </row>
    <row r="730" spans="1:9" x14ac:dyDescent="0.3">
      <c r="A730" s="48" t="s">
        <v>55</v>
      </c>
      <c r="C730">
        <v>-2000</v>
      </c>
      <c r="D730">
        <v>4000</v>
      </c>
      <c r="E730">
        <v>-8000</v>
      </c>
      <c r="F730">
        <v>-3000</v>
      </c>
      <c r="G730">
        <v>-14000</v>
      </c>
      <c r="H730">
        <v>-14000</v>
      </c>
      <c r="I730">
        <v>-14000</v>
      </c>
    </row>
    <row r="731" spans="1:9" x14ac:dyDescent="0.3">
      <c r="A731" s="48" t="s">
        <v>56</v>
      </c>
      <c r="C731">
        <v>-1000</v>
      </c>
      <c r="D731">
        <v>3000</v>
      </c>
      <c r="E731">
        <v>-9000</v>
      </c>
      <c r="F731">
        <v>-4000</v>
      </c>
      <c r="G731">
        <v>-15000</v>
      </c>
      <c r="H731">
        <v>-15000</v>
      </c>
      <c r="I731">
        <v>-15000</v>
      </c>
    </row>
    <row r="732" spans="1:9" x14ac:dyDescent="0.3">
      <c r="A732" s="48" t="s">
        <v>57</v>
      </c>
      <c r="C732">
        <v>0</v>
      </c>
      <c r="D732">
        <v>2000</v>
      </c>
      <c r="E732">
        <v>-10000</v>
      </c>
      <c r="F732">
        <v>-5000</v>
      </c>
      <c r="G732">
        <v>-16000</v>
      </c>
      <c r="H732">
        <v>-16000</v>
      </c>
      <c r="I732">
        <v>-16000</v>
      </c>
    </row>
    <row r="733" spans="1:9" x14ac:dyDescent="0.3">
      <c r="A733" s="48" t="s">
        <v>58</v>
      </c>
      <c r="C733">
        <v>1000</v>
      </c>
      <c r="D733">
        <v>1000</v>
      </c>
      <c r="E733">
        <v>-11000</v>
      </c>
      <c r="F733">
        <v>-6000</v>
      </c>
      <c r="G733">
        <v>-17000</v>
      </c>
      <c r="H733">
        <v>-17000</v>
      </c>
      <c r="I733">
        <v>-17000</v>
      </c>
    </row>
    <row r="734" spans="1:9" x14ac:dyDescent="0.3">
      <c r="A734" s="15" t="s">
        <v>61</v>
      </c>
    </row>
    <row r="735" spans="1:9" x14ac:dyDescent="0.3">
      <c r="A735" s="49" t="s">
        <v>35</v>
      </c>
      <c r="C735">
        <v>-9000</v>
      </c>
      <c r="D735">
        <v>12000</v>
      </c>
      <c r="E735">
        <v>-3000</v>
      </c>
      <c r="F735">
        <v>2000</v>
      </c>
      <c r="G735">
        <v>-9000</v>
      </c>
      <c r="H735">
        <v>-9000</v>
      </c>
      <c r="I735">
        <v>-9000</v>
      </c>
    </row>
    <row r="736" spans="1:9" x14ac:dyDescent="0.3">
      <c r="A736" s="49" t="s">
        <v>41</v>
      </c>
      <c r="C736">
        <v>-8000</v>
      </c>
      <c r="D736">
        <v>11000</v>
      </c>
      <c r="E736">
        <v>-4000</v>
      </c>
      <c r="F736">
        <v>1000</v>
      </c>
      <c r="G736">
        <v>-10000</v>
      </c>
      <c r="H736">
        <v>-10000</v>
      </c>
      <c r="I736">
        <v>-10000</v>
      </c>
    </row>
    <row r="737" spans="1:9" x14ac:dyDescent="0.3">
      <c r="A737" s="48" t="s">
        <v>42</v>
      </c>
      <c r="C737">
        <v>-7000</v>
      </c>
      <c r="D737">
        <v>10000</v>
      </c>
      <c r="E737">
        <v>-5000</v>
      </c>
      <c r="F737">
        <v>0</v>
      </c>
      <c r="G737">
        <v>-11000</v>
      </c>
      <c r="H737">
        <v>-11000</v>
      </c>
      <c r="I737">
        <v>-11000</v>
      </c>
    </row>
    <row r="738" spans="1:9" x14ac:dyDescent="0.3">
      <c r="A738" s="48" t="s">
        <v>43</v>
      </c>
      <c r="C738">
        <v>-6000</v>
      </c>
      <c r="D738">
        <v>9000</v>
      </c>
      <c r="E738">
        <v>-6000</v>
      </c>
      <c r="F738">
        <v>-1000</v>
      </c>
      <c r="G738">
        <v>-12000</v>
      </c>
      <c r="H738">
        <v>-12000</v>
      </c>
      <c r="I738">
        <v>-12000</v>
      </c>
    </row>
    <row r="739" spans="1:9" x14ac:dyDescent="0.3">
      <c r="A739" s="48" t="s">
        <v>44</v>
      </c>
      <c r="C739">
        <v>-5000</v>
      </c>
      <c r="D739">
        <v>8000</v>
      </c>
      <c r="E739">
        <v>-7000</v>
      </c>
      <c r="F739">
        <v>-2000</v>
      </c>
      <c r="G739">
        <v>-13000</v>
      </c>
      <c r="H739">
        <v>-13000</v>
      </c>
      <c r="I739">
        <v>-13000</v>
      </c>
    </row>
    <row r="740" spans="1:9" x14ac:dyDescent="0.3">
      <c r="A740" s="48" t="s">
        <v>54</v>
      </c>
      <c r="C740">
        <v>-4000</v>
      </c>
      <c r="D740">
        <v>7000</v>
      </c>
      <c r="E740">
        <v>-8000</v>
      </c>
      <c r="F740">
        <v>-3000</v>
      </c>
      <c r="G740">
        <v>-14000</v>
      </c>
      <c r="H740">
        <v>-14000</v>
      </c>
      <c r="I740">
        <v>-14000</v>
      </c>
    </row>
    <row r="741" spans="1:9" x14ac:dyDescent="0.3">
      <c r="A741" s="48" t="s">
        <v>55</v>
      </c>
      <c r="C741">
        <v>-3000</v>
      </c>
      <c r="D741">
        <v>6000</v>
      </c>
      <c r="E741">
        <v>-9000</v>
      </c>
      <c r="F741">
        <v>-4000</v>
      </c>
      <c r="G741">
        <v>-15000</v>
      </c>
      <c r="H741">
        <v>-15000</v>
      </c>
      <c r="I741">
        <v>-15000</v>
      </c>
    </row>
    <row r="742" spans="1:9" x14ac:dyDescent="0.3">
      <c r="A742" s="48" t="s">
        <v>56</v>
      </c>
      <c r="C742">
        <v>-2000</v>
      </c>
      <c r="D742">
        <v>5000</v>
      </c>
      <c r="E742">
        <v>-10000</v>
      </c>
      <c r="F742">
        <v>-5000</v>
      </c>
      <c r="G742">
        <v>-16000</v>
      </c>
      <c r="H742">
        <v>-16000</v>
      </c>
      <c r="I742">
        <v>-16000</v>
      </c>
    </row>
    <row r="743" spans="1:9" x14ac:dyDescent="0.3">
      <c r="A743" s="48" t="s">
        <v>57</v>
      </c>
      <c r="C743">
        <v>-1000</v>
      </c>
      <c r="D743">
        <v>4000</v>
      </c>
      <c r="E743">
        <v>-11000</v>
      </c>
      <c r="F743">
        <v>-6000</v>
      </c>
      <c r="G743">
        <v>-17000</v>
      </c>
      <c r="H743">
        <v>-17000</v>
      </c>
      <c r="I743">
        <v>-17000</v>
      </c>
    </row>
    <row r="744" spans="1:9" x14ac:dyDescent="0.3">
      <c r="A744" s="48" t="s">
        <v>58</v>
      </c>
      <c r="C744">
        <v>0</v>
      </c>
      <c r="D744">
        <v>3000</v>
      </c>
      <c r="E744">
        <v>-12000</v>
      </c>
      <c r="F744">
        <v>-7000</v>
      </c>
      <c r="G744">
        <v>-18000</v>
      </c>
      <c r="H744">
        <v>-18000</v>
      </c>
      <c r="I744">
        <v>-18000</v>
      </c>
    </row>
    <row r="745" spans="1:9" x14ac:dyDescent="0.3">
      <c r="A745" s="15" t="s">
        <v>62</v>
      </c>
    </row>
    <row r="746" spans="1:9" x14ac:dyDescent="0.3">
      <c r="A746" s="48" t="s">
        <v>35</v>
      </c>
      <c r="C746">
        <v>-10000</v>
      </c>
      <c r="D746">
        <v>14000</v>
      </c>
      <c r="E746">
        <v>-4000</v>
      </c>
      <c r="F746">
        <v>1000</v>
      </c>
      <c r="G746">
        <v>-10000</v>
      </c>
      <c r="H746">
        <v>-10000</v>
      </c>
      <c r="I746">
        <v>-10000</v>
      </c>
    </row>
    <row r="747" spans="1:9" x14ac:dyDescent="0.3">
      <c r="A747" s="48" t="s">
        <v>41</v>
      </c>
      <c r="C747">
        <v>-9000</v>
      </c>
      <c r="D747">
        <v>13000</v>
      </c>
      <c r="E747">
        <v>-5000</v>
      </c>
      <c r="F747">
        <v>0</v>
      </c>
      <c r="G747">
        <v>-11000</v>
      </c>
      <c r="H747">
        <v>-11000</v>
      </c>
      <c r="I747">
        <v>-11000</v>
      </c>
    </row>
    <row r="748" spans="1:9" x14ac:dyDescent="0.3">
      <c r="A748" s="48" t="s">
        <v>42</v>
      </c>
      <c r="C748">
        <v>-8000</v>
      </c>
      <c r="D748">
        <v>12000</v>
      </c>
      <c r="E748">
        <v>-6000</v>
      </c>
      <c r="F748">
        <v>-1000</v>
      </c>
      <c r="G748">
        <v>-12000</v>
      </c>
      <c r="H748">
        <v>-12000</v>
      </c>
      <c r="I748">
        <v>-12000</v>
      </c>
    </row>
    <row r="749" spans="1:9" x14ac:dyDescent="0.3">
      <c r="A749" s="48" t="s">
        <v>43</v>
      </c>
      <c r="C749">
        <v>-7000</v>
      </c>
      <c r="D749">
        <v>11000</v>
      </c>
      <c r="E749">
        <v>-7000</v>
      </c>
      <c r="F749">
        <v>-2000</v>
      </c>
      <c r="G749">
        <v>-13000</v>
      </c>
      <c r="H749">
        <v>-13000</v>
      </c>
      <c r="I749">
        <v>-13000</v>
      </c>
    </row>
    <row r="750" spans="1:9" x14ac:dyDescent="0.3">
      <c r="A750" s="48" t="s">
        <v>44</v>
      </c>
      <c r="C750">
        <v>-6000</v>
      </c>
      <c r="D750">
        <v>10000</v>
      </c>
      <c r="E750">
        <v>-8000</v>
      </c>
      <c r="F750">
        <v>-3000</v>
      </c>
      <c r="G750">
        <v>-14000</v>
      </c>
      <c r="H750">
        <v>-14000</v>
      </c>
      <c r="I750">
        <v>-14000</v>
      </c>
    </row>
    <row r="751" spans="1:9" x14ac:dyDescent="0.3">
      <c r="A751" s="48" t="s">
        <v>54</v>
      </c>
      <c r="C751">
        <v>-5000</v>
      </c>
      <c r="D751">
        <v>9000</v>
      </c>
      <c r="E751">
        <v>-9000</v>
      </c>
      <c r="F751">
        <v>-4000</v>
      </c>
      <c r="G751">
        <v>-15000</v>
      </c>
      <c r="H751">
        <v>-15000</v>
      </c>
      <c r="I751">
        <v>-15000</v>
      </c>
    </row>
    <row r="752" spans="1:9" x14ac:dyDescent="0.3">
      <c r="A752" s="48" t="s">
        <v>55</v>
      </c>
      <c r="C752">
        <v>-4000</v>
      </c>
      <c r="D752">
        <v>8000</v>
      </c>
      <c r="E752">
        <v>-10000</v>
      </c>
      <c r="F752">
        <v>-5000</v>
      </c>
      <c r="G752">
        <v>-16000</v>
      </c>
      <c r="H752">
        <v>-16000</v>
      </c>
      <c r="I752">
        <v>-16000</v>
      </c>
    </row>
    <row r="753" spans="1:9" x14ac:dyDescent="0.3">
      <c r="A753" s="48" t="s">
        <v>56</v>
      </c>
      <c r="C753">
        <v>-3000</v>
      </c>
      <c r="D753">
        <v>7000</v>
      </c>
      <c r="E753">
        <v>-11000</v>
      </c>
      <c r="F753">
        <v>-6000</v>
      </c>
      <c r="G753">
        <v>-17000</v>
      </c>
      <c r="H753">
        <v>-17000</v>
      </c>
      <c r="I753">
        <v>-17000</v>
      </c>
    </row>
    <row r="754" spans="1:9" x14ac:dyDescent="0.3">
      <c r="A754" s="48" t="s">
        <v>57</v>
      </c>
      <c r="C754">
        <v>-2000</v>
      </c>
      <c r="D754">
        <v>6000</v>
      </c>
      <c r="E754">
        <v>-12000</v>
      </c>
      <c r="F754">
        <v>-7000</v>
      </c>
      <c r="G754">
        <v>-18000</v>
      </c>
      <c r="H754">
        <v>-18000</v>
      </c>
      <c r="I754">
        <v>-18000</v>
      </c>
    </row>
    <row r="755" spans="1:9" x14ac:dyDescent="0.3">
      <c r="A755" s="48" t="s">
        <v>58</v>
      </c>
      <c r="C755">
        <v>-1000</v>
      </c>
      <c r="D755">
        <v>5000</v>
      </c>
      <c r="E755">
        <v>-13000</v>
      </c>
      <c r="F755">
        <v>-8000</v>
      </c>
      <c r="G755">
        <v>-19000</v>
      </c>
      <c r="H755">
        <v>-19000</v>
      </c>
      <c r="I755">
        <v>-19000</v>
      </c>
    </row>
    <row r="756" spans="1:9" x14ac:dyDescent="0.3">
      <c r="A756" s="15" t="s">
        <v>63</v>
      </c>
    </row>
    <row r="757" spans="1:9" x14ac:dyDescent="0.3">
      <c r="A757" s="48" t="s">
        <v>35</v>
      </c>
      <c r="C757">
        <v>-11000</v>
      </c>
      <c r="D757">
        <v>16000</v>
      </c>
      <c r="E757">
        <v>-5000</v>
      </c>
      <c r="F757">
        <v>0</v>
      </c>
      <c r="G757">
        <v>-11000</v>
      </c>
      <c r="H757">
        <v>-11000</v>
      </c>
      <c r="I757">
        <v>-11000</v>
      </c>
    </row>
    <row r="758" spans="1:9" x14ac:dyDescent="0.3">
      <c r="A758" s="48" t="s">
        <v>41</v>
      </c>
      <c r="C758">
        <v>-10000</v>
      </c>
      <c r="D758">
        <v>15000</v>
      </c>
      <c r="E758">
        <v>-6000</v>
      </c>
      <c r="F758">
        <v>-1000</v>
      </c>
      <c r="G758">
        <v>-12000</v>
      </c>
      <c r="H758">
        <v>-12000</v>
      </c>
      <c r="I758">
        <v>-12000</v>
      </c>
    </row>
    <row r="759" spans="1:9" x14ac:dyDescent="0.3">
      <c r="A759" s="48" t="s">
        <v>42</v>
      </c>
      <c r="C759">
        <v>-9000</v>
      </c>
      <c r="D759">
        <v>14000</v>
      </c>
      <c r="E759">
        <v>-7000</v>
      </c>
      <c r="F759">
        <v>-2000</v>
      </c>
      <c r="G759">
        <v>-13000</v>
      </c>
      <c r="H759">
        <v>-13000</v>
      </c>
      <c r="I759">
        <v>-13000</v>
      </c>
    </row>
    <row r="760" spans="1:9" x14ac:dyDescent="0.3">
      <c r="A760" s="48" t="s">
        <v>43</v>
      </c>
      <c r="C760">
        <v>-8000</v>
      </c>
      <c r="D760">
        <v>13000</v>
      </c>
      <c r="E760">
        <v>-8000</v>
      </c>
      <c r="F760">
        <v>-3000</v>
      </c>
      <c r="G760">
        <v>-14000</v>
      </c>
      <c r="H760">
        <v>-14000</v>
      </c>
      <c r="I760">
        <v>-14000</v>
      </c>
    </row>
    <row r="761" spans="1:9" x14ac:dyDescent="0.3">
      <c r="A761" s="48" t="s">
        <v>44</v>
      </c>
      <c r="C761">
        <v>-7000</v>
      </c>
      <c r="D761">
        <v>12000</v>
      </c>
      <c r="E761">
        <v>-9000</v>
      </c>
      <c r="F761">
        <v>-4000</v>
      </c>
      <c r="G761">
        <v>-15000</v>
      </c>
      <c r="H761">
        <v>-15000</v>
      </c>
      <c r="I761">
        <v>-15000</v>
      </c>
    </row>
    <row r="762" spans="1:9" x14ac:dyDescent="0.3">
      <c r="A762" s="48" t="s">
        <v>54</v>
      </c>
      <c r="C762">
        <v>-6000</v>
      </c>
      <c r="D762">
        <v>11000</v>
      </c>
      <c r="E762">
        <v>-10000</v>
      </c>
      <c r="F762">
        <v>-5000</v>
      </c>
      <c r="G762">
        <v>-16000</v>
      </c>
      <c r="H762">
        <v>-16000</v>
      </c>
      <c r="I762">
        <v>-16000</v>
      </c>
    </row>
    <row r="763" spans="1:9" x14ac:dyDescent="0.3">
      <c r="A763" s="48" t="s">
        <v>55</v>
      </c>
      <c r="C763">
        <v>-5000</v>
      </c>
      <c r="D763">
        <v>10000</v>
      </c>
      <c r="E763">
        <v>-11000</v>
      </c>
      <c r="F763">
        <v>-6000</v>
      </c>
      <c r="G763">
        <v>-17000</v>
      </c>
      <c r="H763">
        <v>-17000</v>
      </c>
      <c r="I763">
        <v>-17000</v>
      </c>
    </row>
    <row r="764" spans="1:9" x14ac:dyDescent="0.3">
      <c r="A764" s="48" t="s">
        <v>56</v>
      </c>
      <c r="C764">
        <v>-4000</v>
      </c>
      <c r="D764">
        <v>9000</v>
      </c>
      <c r="E764">
        <v>-12000</v>
      </c>
      <c r="F764">
        <v>-7000</v>
      </c>
      <c r="G764">
        <v>-18000</v>
      </c>
      <c r="H764">
        <v>-18000</v>
      </c>
      <c r="I764">
        <v>-18000</v>
      </c>
    </row>
    <row r="765" spans="1:9" x14ac:dyDescent="0.3">
      <c r="A765" s="48" t="s">
        <v>57</v>
      </c>
      <c r="C765">
        <v>-3000</v>
      </c>
      <c r="D765">
        <v>8000</v>
      </c>
      <c r="E765">
        <v>-13000</v>
      </c>
      <c r="F765">
        <v>-8000</v>
      </c>
      <c r="G765">
        <v>-19000</v>
      </c>
      <c r="H765">
        <v>-19000</v>
      </c>
      <c r="I765">
        <v>-19000</v>
      </c>
    </row>
    <row r="766" spans="1:9" x14ac:dyDescent="0.3">
      <c r="A766" s="48" t="s">
        <v>58</v>
      </c>
      <c r="C766">
        <v>-2000</v>
      </c>
      <c r="D766">
        <v>7000</v>
      </c>
      <c r="E766">
        <v>-14000</v>
      </c>
      <c r="F766">
        <v>-9000</v>
      </c>
      <c r="G766">
        <v>-20000</v>
      </c>
      <c r="H766">
        <v>-20000</v>
      </c>
      <c r="I766">
        <v>-20000</v>
      </c>
    </row>
    <row r="767" spans="1:9" x14ac:dyDescent="0.3">
      <c r="A767" s="15" t="s">
        <v>50</v>
      </c>
      <c r="B767">
        <v>-4000</v>
      </c>
      <c r="C767">
        <v>15000</v>
      </c>
      <c r="D767">
        <v>-45000</v>
      </c>
      <c r="E767">
        <v>-15000</v>
      </c>
      <c r="F767">
        <v>35000</v>
      </c>
      <c r="G767">
        <v>-75000</v>
      </c>
      <c r="H767">
        <v>-75000</v>
      </c>
      <c r="I767">
        <v>-71000</v>
      </c>
    </row>
    <row r="768" spans="1:9" x14ac:dyDescent="0.3">
      <c r="A768" s="14" t="s">
        <v>50</v>
      </c>
    </row>
    <row r="769" spans="1:9" x14ac:dyDescent="0.3">
      <c r="A769" s="15" t="s">
        <v>34</v>
      </c>
    </row>
    <row r="770" spans="1:9" x14ac:dyDescent="0.3">
      <c r="A770" s="49" t="s">
        <v>35</v>
      </c>
      <c r="C770">
        <v>-3000</v>
      </c>
      <c r="D770">
        <v>-3000</v>
      </c>
      <c r="E770">
        <v>9000</v>
      </c>
      <c r="F770">
        <v>8000</v>
      </c>
      <c r="G770">
        <v>-3000</v>
      </c>
      <c r="H770">
        <v>-3000</v>
      </c>
      <c r="I770">
        <v>-3000</v>
      </c>
    </row>
    <row r="771" spans="1:9" x14ac:dyDescent="0.3">
      <c r="A771" s="49" t="s">
        <v>41</v>
      </c>
      <c r="C771">
        <v>-2000</v>
      </c>
      <c r="D771">
        <v>-4000</v>
      </c>
      <c r="E771">
        <v>8000</v>
      </c>
      <c r="F771">
        <v>7000</v>
      </c>
      <c r="G771">
        <v>-4000</v>
      </c>
      <c r="H771">
        <v>-4000</v>
      </c>
      <c r="I771">
        <v>-4000</v>
      </c>
    </row>
    <row r="772" spans="1:9" x14ac:dyDescent="0.3">
      <c r="A772" s="49" t="s">
        <v>42</v>
      </c>
      <c r="C772">
        <v>-1000</v>
      </c>
      <c r="D772">
        <v>-5000</v>
      </c>
      <c r="E772">
        <v>7000</v>
      </c>
      <c r="F772">
        <v>6000</v>
      </c>
      <c r="G772">
        <v>-5000</v>
      </c>
      <c r="H772">
        <v>-5000</v>
      </c>
      <c r="I772">
        <v>-5000</v>
      </c>
    </row>
    <row r="773" spans="1:9" x14ac:dyDescent="0.3">
      <c r="A773" s="49" t="s">
        <v>43</v>
      </c>
      <c r="C773">
        <v>0</v>
      </c>
      <c r="D773">
        <v>-6000</v>
      </c>
      <c r="E773">
        <v>6000</v>
      </c>
      <c r="F773">
        <v>5000</v>
      </c>
      <c r="G773">
        <v>-6000</v>
      </c>
      <c r="H773">
        <v>-6000</v>
      </c>
      <c r="I773">
        <v>-6000</v>
      </c>
    </row>
    <row r="774" spans="1:9" x14ac:dyDescent="0.3">
      <c r="A774" s="48" t="s">
        <v>44</v>
      </c>
      <c r="C774">
        <v>1000</v>
      </c>
      <c r="D774">
        <v>-7000</v>
      </c>
      <c r="E774">
        <v>5000</v>
      </c>
      <c r="F774">
        <v>4000</v>
      </c>
      <c r="G774">
        <v>-7000</v>
      </c>
      <c r="H774">
        <v>-7000</v>
      </c>
      <c r="I774">
        <v>-7000</v>
      </c>
    </row>
    <row r="775" spans="1:9" x14ac:dyDescent="0.3">
      <c r="A775" s="48" t="s">
        <v>54</v>
      </c>
      <c r="C775">
        <v>2000</v>
      </c>
      <c r="D775">
        <v>-8000</v>
      </c>
      <c r="E775">
        <v>4000</v>
      </c>
      <c r="F775">
        <v>3000</v>
      </c>
      <c r="G775">
        <v>-8000</v>
      </c>
      <c r="H775">
        <v>-8000</v>
      </c>
      <c r="I775">
        <v>-8000</v>
      </c>
    </row>
    <row r="776" spans="1:9" x14ac:dyDescent="0.3">
      <c r="A776" s="48" t="s">
        <v>55</v>
      </c>
      <c r="C776">
        <v>3000</v>
      </c>
      <c r="D776">
        <v>-9000</v>
      </c>
      <c r="E776">
        <v>3000</v>
      </c>
      <c r="F776">
        <v>2000</v>
      </c>
      <c r="G776">
        <v>-9000</v>
      </c>
      <c r="H776">
        <v>-9000</v>
      </c>
      <c r="I776">
        <v>-9000</v>
      </c>
    </row>
    <row r="777" spans="1:9" x14ac:dyDescent="0.3">
      <c r="A777" s="48" t="s">
        <v>56</v>
      </c>
      <c r="C777">
        <v>4000</v>
      </c>
      <c r="D777">
        <v>-10000</v>
      </c>
      <c r="E777">
        <v>2000</v>
      </c>
      <c r="F777">
        <v>1000</v>
      </c>
      <c r="G777">
        <v>-10000</v>
      </c>
      <c r="H777">
        <v>-10000</v>
      </c>
      <c r="I777">
        <v>-10000</v>
      </c>
    </row>
    <row r="778" spans="1:9" x14ac:dyDescent="0.3">
      <c r="A778" s="48" t="s">
        <v>57</v>
      </c>
      <c r="C778">
        <v>5000</v>
      </c>
      <c r="D778">
        <v>-11000</v>
      </c>
      <c r="E778">
        <v>1000</v>
      </c>
      <c r="F778">
        <v>0</v>
      </c>
      <c r="G778">
        <v>-11000</v>
      </c>
      <c r="H778">
        <v>-11000</v>
      </c>
      <c r="I778">
        <v>-11000</v>
      </c>
    </row>
    <row r="779" spans="1:9" x14ac:dyDescent="0.3">
      <c r="A779" s="48" t="s">
        <v>58</v>
      </c>
      <c r="C779">
        <v>6000</v>
      </c>
      <c r="D779">
        <v>-12000</v>
      </c>
      <c r="E779">
        <v>0</v>
      </c>
      <c r="F779">
        <v>-1000</v>
      </c>
      <c r="G779">
        <v>-12000</v>
      </c>
      <c r="H779">
        <v>-12000</v>
      </c>
      <c r="I779">
        <v>-12000</v>
      </c>
    </row>
    <row r="780" spans="1:9" x14ac:dyDescent="0.3">
      <c r="A780" s="15" t="s">
        <v>45</v>
      </c>
    </row>
    <row r="781" spans="1:9" x14ac:dyDescent="0.3">
      <c r="A781" s="49" t="s">
        <v>35</v>
      </c>
      <c r="C781">
        <v>-4000</v>
      </c>
      <c r="D781">
        <v>-1000</v>
      </c>
      <c r="E781">
        <v>8000</v>
      </c>
      <c r="F781">
        <v>7000</v>
      </c>
      <c r="G781">
        <v>-4000</v>
      </c>
      <c r="H781">
        <v>-4000</v>
      </c>
      <c r="I781">
        <v>-4000</v>
      </c>
    </row>
    <row r="782" spans="1:9" x14ac:dyDescent="0.3">
      <c r="A782" s="49" t="s">
        <v>41</v>
      </c>
      <c r="C782">
        <v>-3000</v>
      </c>
      <c r="D782">
        <v>-2000</v>
      </c>
      <c r="E782">
        <v>7000</v>
      </c>
      <c r="F782">
        <v>6000</v>
      </c>
      <c r="G782">
        <v>-5000</v>
      </c>
      <c r="H782">
        <v>-5000</v>
      </c>
      <c r="I782">
        <v>-5000</v>
      </c>
    </row>
    <row r="783" spans="1:9" x14ac:dyDescent="0.3">
      <c r="A783" s="49" t="s">
        <v>42</v>
      </c>
      <c r="C783">
        <v>-2000</v>
      </c>
      <c r="D783">
        <v>-3000</v>
      </c>
      <c r="E783">
        <v>6000</v>
      </c>
      <c r="F783">
        <v>5000</v>
      </c>
      <c r="G783">
        <v>-6000</v>
      </c>
      <c r="H783">
        <v>-6000</v>
      </c>
      <c r="I783">
        <v>-6000</v>
      </c>
    </row>
    <row r="784" spans="1:9" x14ac:dyDescent="0.3">
      <c r="A784" s="49" t="s">
        <v>43</v>
      </c>
      <c r="C784">
        <v>-1000</v>
      </c>
      <c r="D784">
        <v>-4000</v>
      </c>
      <c r="E784">
        <v>5000</v>
      </c>
      <c r="F784">
        <v>4000</v>
      </c>
      <c r="G784">
        <v>-7000</v>
      </c>
      <c r="H784">
        <v>-7000</v>
      </c>
      <c r="I784">
        <v>-7000</v>
      </c>
    </row>
    <row r="785" spans="1:9" x14ac:dyDescent="0.3">
      <c r="A785" s="48" t="s">
        <v>44</v>
      </c>
      <c r="C785">
        <v>0</v>
      </c>
      <c r="D785">
        <v>-5000</v>
      </c>
      <c r="E785">
        <v>4000</v>
      </c>
      <c r="F785">
        <v>3000</v>
      </c>
      <c r="G785">
        <v>-8000</v>
      </c>
      <c r="H785">
        <v>-8000</v>
      </c>
      <c r="I785">
        <v>-8000</v>
      </c>
    </row>
    <row r="786" spans="1:9" x14ac:dyDescent="0.3">
      <c r="A786" s="48" t="s">
        <v>54</v>
      </c>
      <c r="C786">
        <v>1000</v>
      </c>
      <c r="D786">
        <v>-6000</v>
      </c>
      <c r="E786">
        <v>3000</v>
      </c>
      <c r="F786">
        <v>2000</v>
      </c>
      <c r="G786">
        <v>-9000</v>
      </c>
      <c r="H786">
        <v>-9000</v>
      </c>
      <c r="I786">
        <v>-9000</v>
      </c>
    </row>
    <row r="787" spans="1:9" x14ac:dyDescent="0.3">
      <c r="A787" s="48" t="s">
        <v>55</v>
      </c>
      <c r="C787">
        <v>2000</v>
      </c>
      <c r="D787">
        <v>-7000</v>
      </c>
      <c r="E787">
        <v>2000</v>
      </c>
      <c r="F787">
        <v>1000</v>
      </c>
      <c r="G787">
        <v>-10000</v>
      </c>
      <c r="H787">
        <v>-10000</v>
      </c>
      <c r="I787">
        <v>-10000</v>
      </c>
    </row>
    <row r="788" spans="1:9" x14ac:dyDescent="0.3">
      <c r="A788" s="48" t="s">
        <v>56</v>
      </c>
      <c r="C788">
        <v>3000</v>
      </c>
      <c r="D788">
        <v>-8000</v>
      </c>
      <c r="E788">
        <v>1000</v>
      </c>
      <c r="F788">
        <v>0</v>
      </c>
      <c r="G788">
        <v>-11000</v>
      </c>
      <c r="H788">
        <v>-11000</v>
      </c>
      <c r="I788">
        <v>-11000</v>
      </c>
    </row>
    <row r="789" spans="1:9" x14ac:dyDescent="0.3">
      <c r="A789" s="48" t="s">
        <v>57</v>
      </c>
      <c r="C789">
        <v>4000</v>
      </c>
      <c r="D789">
        <v>-9000</v>
      </c>
      <c r="E789">
        <v>0</v>
      </c>
      <c r="F789">
        <v>-1000</v>
      </c>
      <c r="G789">
        <v>-12000</v>
      </c>
      <c r="H789">
        <v>-12000</v>
      </c>
      <c r="I789">
        <v>-12000</v>
      </c>
    </row>
    <row r="790" spans="1:9" x14ac:dyDescent="0.3">
      <c r="A790" s="48" t="s">
        <v>58</v>
      </c>
      <c r="C790">
        <v>5000</v>
      </c>
      <c r="D790">
        <v>-10000</v>
      </c>
      <c r="E790">
        <v>-1000</v>
      </c>
      <c r="F790">
        <v>-2000</v>
      </c>
      <c r="G790">
        <v>-13000</v>
      </c>
      <c r="H790">
        <v>-13000</v>
      </c>
      <c r="I790">
        <v>-13000</v>
      </c>
    </row>
    <row r="791" spans="1:9" x14ac:dyDescent="0.3">
      <c r="A791" s="56" t="s">
        <v>46</v>
      </c>
    </row>
    <row r="792" spans="1:9" x14ac:dyDescent="0.3">
      <c r="A792" s="49" t="s">
        <v>35</v>
      </c>
      <c r="C792">
        <v>-5000</v>
      </c>
      <c r="D792">
        <v>1000</v>
      </c>
      <c r="E792">
        <v>7000</v>
      </c>
      <c r="F792">
        <v>6000</v>
      </c>
      <c r="G792">
        <v>-5000</v>
      </c>
      <c r="H792">
        <v>-5000</v>
      </c>
      <c r="I792">
        <v>-5000</v>
      </c>
    </row>
    <row r="793" spans="1:9" x14ac:dyDescent="0.3">
      <c r="A793" s="49" t="s">
        <v>41</v>
      </c>
      <c r="C793">
        <v>-4000</v>
      </c>
      <c r="D793">
        <v>0</v>
      </c>
      <c r="E793">
        <v>6000</v>
      </c>
      <c r="F793">
        <v>5000</v>
      </c>
      <c r="G793">
        <v>-6000</v>
      </c>
      <c r="H793">
        <v>-6000</v>
      </c>
      <c r="I793">
        <v>-6000</v>
      </c>
    </row>
    <row r="794" spans="1:9" x14ac:dyDescent="0.3">
      <c r="A794" s="49" t="s">
        <v>42</v>
      </c>
      <c r="C794">
        <v>-3000</v>
      </c>
      <c r="D794">
        <v>-1000</v>
      </c>
      <c r="E794">
        <v>5000</v>
      </c>
      <c r="F794">
        <v>4000</v>
      </c>
      <c r="G794">
        <v>-7000</v>
      </c>
      <c r="H794">
        <v>-7000</v>
      </c>
      <c r="I794">
        <v>-7000</v>
      </c>
    </row>
    <row r="795" spans="1:9" x14ac:dyDescent="0.3">
      <c r="A795" s="49" t="s">
        <v>43</v>
      </c>
      <c r="C795">
        <v>-2000</v>
      </c>
      <c r="D795">
        <v>-2000</v>
      </c>
      <c r="E795">
        <v>4000</v>
      </c>
      <c r="F795">
        <v>3000</v>
      </c>
      <c r="G795">
        <v>-8000</v>
      </c>
      <c r="H795">
        <v>-8000</v>
      </c>
      <c r="I795">
        <v>-8000</v>
      </c>
    </row>
    <row r="796" spans="1:9" x14ac:dyDescent="0.3">
      <c r="A796" s="48" t="s">
        <v>44</v>
      </c>
      <c r="C796">
        <v>-1000</v>
      </c>
      <c r="D796">
        <v>-3000</v>
      </c>
      <c r="E796">
        <v>3000</v>
      </c>
      <c r="F796">
        <v>2000</v>
      </c>
      <c r="G796">
        <v>-9000</v>
      </c>
      <c r="H796">
        <v>-9000</v>
      </c>
      <c r="I796">
        <v>-9000</v>
      </c>
    </row>
    <row r="797" spans="1:9" x14ac:dyDescent="0.3">
      <c r="A797" s="48" t="s">
        <v>54</v>
      </c>
      <c r="C797">
        <v>0</v>
      </c>
      <c r="D797">
        <v>-4000</v>
      </c>
      <c r="E797">
        <v>2000</v>
      </c>
      <c r="F797">
        <v>1000</v>
      </c>
      <c r="G797">
        <v>-10000</v>
      </c>
      <c r="H797">
        <v>-10000</v>
      </c>
      <c r="I797">
        <v>-10000</v>
      </c>
    </row>
    <row r="798" spans="1:9" x14ac:dyDescent="0.3">
      <c r="A798" s="48" t="s">
        <v>55</v>
      </c>
      <c r="C798">
        <v>1000</v>
      </c>
      <c r="D798">
        <v>-5000</v>
      </c>
      <c r="E798">
        <v>1000</v>
      </c>
      <c r="F798">
        <v>0</v>
      </c>
      <c r="G798">
        <v>-11000</v>
      </c>
      <c r="H798">
        <v>-11000</v>
      </c>
      <c r="I798">
        <v>-11000</v>
      </c>
    </row>
    <row r="799" spans="1:9" x14ac:dyDescent="0.3">
      <c r="A799" s="48" t="s">
        <v>56</v>
      </c>
      <c r="C799">
        <v>2000</v>
      </c>
      <c r="D799">
        <v>-6000</v>
      </c>
      <c r="E799">
        <v>0</v>
      </c>
      <c r="F799">
        <v>-1000</v>
      </c>
      <c r="G799">
        <v>-12000</v>
      </c>
      <c r="H799">
        <v>-12000</v>
      </c>
      <c r="I799">
        <v>-12000</v>
      </c>
    </row>
    <row r="800" spans="1:9" x14ac:dyDescent="0.3">
      <c r="A800" s="48" t="s">
        <v>57</v>
      </c>
      <c r="C800">
        <v>3000</v>
      </c>
      <c r="D800">
        <v>-7000</v>
      </c>
      <c r="E800">
        <v>-1000</v>
      </c>
      <c r="F800">
        <v>-2000</v>
      </c>
      <c r="G800">
        <v>-13000</v>
      </c>
      <c r="H800">
        <v>-13000</v>
      </c>
      <c r="I800">
        <v>-13000</v>
      </c>
    </row>
    <row r="801" spans="1:9" x14ac:dyDescent="0.3">
      <c r="A801" s="48" t="s">
        <v>58</v>
      </c>
      <c r="C801">
        <v>4000</v>
      </c>
      <c r="D801">
        <v>-8000</v>
      </c>
      <c r="E801">
        <v>-2000</v>
      </c>
      <c r="F801">
        <v>-3000</v>
      </c>
      <c r="G801">
        <v>-14000</v>
      </c>
      <c r="H801">
        <v>-14000</v>
      </c>
      <c r="I801">
        <v>-14000</v>
      </c>
    </row>
    <row r="802" spans="1:9" x14ac:dyDescent="0.3">
      <c r="A802" s="56" t="s">
        <v>47</v>
      </c>
    </row>
    <row r="803" spans="1:9" x14ac:dyDescent="0.3">
      <c r="A803" s="49" t="s">
        <v>35</v>
      </c>
      <c r="C803">
        <v>-6000</v>
      </c>
      <c r="D803">
        <v>3000</v>
      </c>
      <c r="E803">
        <v>6000</v>
      </c>
      <c r="F803">
        <v>5000</v>
      </c>
      <c r="G803">
        <v>-6000</v>
      </c>
      <c r="H803">
        <v>-6000</v>
      </c>
      <c r="I803">
        <v>-6000</v>
      </c>
    </row>
    <row r="804" spans="1:9" x14ac:dyDescent="0.3">
      <c r="A804" s="49" t="s">
        <v>41</v>
      </c>
      <c r="C804">
        <v>-5000</v>
      </c>
      <c r="D804">
        <v>2000</v>
      </c>
      <c r="E804">
        <v>5000</v>
      </c>
      <c r="F804">
        <v>4000</v>
      </c>
      <c r="G804">
        <v>-7000</v>
      </c>
      <c r="H804">
        <v>-7000</v>
      </c>
      <c r="I804">
        <v>-7000</v>
      </c>
    </row>
    <row r="805" spans="1:9" x14ac:dyDescent="0.3">
      <c r="A805" s="49" t="s">
        <v>42</v>
      </c>
      <c r="C805">
        <v>-4000</v>
      </c>
      <c r="D805">
        <v>1000</v>
      </c>
      <c r="E805">
        <v>4000</v>
      </c>
      <c r="F805">
        <v>3000</v>
      </c>
      <c r="G805">
        <v>-8000</v>
      </c>
      <c r="H805">
        <v>-8000</v>
      </c>
      <c r="I805">
        <v>-8000</v>
      </c>
    </row>
    <row r="806" spans="1:9" x14ac:dyDescent="0.3">
      <c r="A806" s="49" t="s">
        <v>43</v>
      </c>
      <c r="C806">
        <v>-3000</v>
      </c>
      <c r="D806">
        <v>0</v>
      </c>
      <c r="E806">
        <v>3000</v>
      </c>
      <c r="F806">
        <v>2000</v>
      </c>
      <c r="G806">
        <v>-9000</v>
      </c>
      <c r="H806">
        <v>-9000</v>
      </c>
      <c r="I806">
        <v>-9000</v>
      </c>
    </row>
    <row r="807" spans="1:9" x14ac:dyDescent="0.3">
      <c r="A807" s="48" t="s">
        <v>44</v>
      </c>
      <c r="C807">
        <v>-2000</v>
      </c>
      <c r="D807">
        <v>-1000</v>
      </c>
      <c r="E807">
        <v>2000</v>
      </c>
      <c r="F807">
        <v>1000</v>
      </c>
      <c r="G807">
        <v>-10000</v>
      </c>
      <c r="H807">
        <v>-10000</v>
      </c>
      <c r="I807">
        <v>-10000</v>
      </c>
    </row>
    <row r="808" spans="1:9" x14ac:dyDescent="0.3">
      <c r="A808" s="48" t="s">
        <v>54</v>
      </c>
      <c r="C808">
        <v>-1000</v>
      </c>
      <c r="D808">
        <v>-2000</v>
      </c>
      <c r="E808">
        <v>1000</v>
      </c>
      <c r="F808">
        <v>0</v>
      </c>
      <c r="G808">
        <v>-11000</v>
      </c>
      <c r="H808">
        <v>-11000</v>
      </c>
      <c r="I808">
        <v>-11000</v>
      </c>
    </row>
    <row r="809" spans="1:9" x14ac:dyDescent="0.3">
      <c r="A809" s="48" t="s">
        <v>55</v>
      </c>
      <c r="C809">
        <v>0</v>
      </c>
      <c r="D809">
        <v>-3000</v>
      </c>
      <c r="E809">
        <v>0</v>
      </c>
      <c r="F809">
        <v>-1000</v>
      </c>
      <c r="G809">
        <v>-12000</v>
      </c>
      <c r="H809">
        <v>-12000</v>
      </c>
      <c r="I809">
        <v>-12000</v>
      </c>
    </row>
    <row r="810" spans="1:9" x14ac:dyDescent="0.3">
      <c r="A810" s="48" t="s">
        <v>56</v>
      </c>
      <c r="C810">
        <v>1000</v>
      </c>
      <c r="D810">
        <v>-4000</v>
      </c>
      <c r="E810">
        <v>-1000</v>
      </c>
      <c r="F810">
        <v>-2000</v>
      </c>
      <c r="G810">
        <v>-13000</v>
      </c>
      <c r="H810">
        <v>-13000</v>
      </c>
      <c r="I810">
        <v>-13000</v>
      </c>
    </row>
    <row r="811" spans="1:9" x14ac:dyDescent="0.3">
      <c r="A811" s="48" t="s">
        <v>57</v>
      </c>
      <c r="C811">
        <v>2000</v>
      </c>
      <c r="D811">
        <v>-5000</v>
      </c>
      <c r="E811">
        <v>-2000</v>
      </c>
      <c r="F811">
        <v>-3000</v>
      </c>
      <c r="G811">
        <v>-14000</v>
      </c>
      <c r="H811">
        <v>-14000</v>
      </c>
      <c r="I811">
        <v>-14000</v>
      </c>
    </row>
    <row r="812" spans="1:9" x14ac:dyDescent="0.3">
      <c r="A812" s="48" t="s">
        <v>58</v>
      </c>
      <c r="C812">
        <v>3000</v>
      </c>
      <c r="D812">
        <v>-6000</v>
      </c>
      <c r="E812">
        <v>-3000</v>
      </c>
      <c r="F812">
        <v>-4000</v>
      </c>
      <c r="G812">
        <v>-15000</v>
      </c>
      <c r="H812">
        <v>-15000</v>
      </c>
      <c r="I812">
        <v>-15000</v>
      </c>
    </row>
    <row r="813" spans="1:9" x14ac:dyDescent="0.3">
      <c r="A813" s="15" t="s">
        <v>48</v>
      </c>
    </row>
    <row r="814" spans="1:9" x14ac:dyDescent="0.3">
      <c r="A814" s="49" t="s">
        <v>35</v>
      </c>
      <c r="C814">
        <v>-7000</v>
      </c>
      <c r="D814">
        <v>5000</v>
      </c>
      <c r="E814">
        <v>5000</v>
      </c>
      <c r="F814">
        <v>4000</v>
      </c>
      <c r="G814">
        <v>-7000</v>
      </c>
      <c r="H814">
        <v>-7000</v>
      </c>
      <c r="I814">
        <v>-7000</v>
      </c>
    </row>
    <row r="815" spans="1:9" x14ac:dyDescent="0.3">
      <c r="A815" s="49" t="s">
        <v>41</v>
      </c>
      <c r="C815">
        <v>-6000</v>
      </c>
      <c r="D815">
        <v>4000</v>
      </c>
      <c r="E815">
        <v>4000</v>
      </c>
      <c r="F815">
        <v>3000</v>
      </c>
      <c r="G815">
        <v>-8000</v>
      </c>
      <c r="H815">
        <v>-8000</v>
      </c>
      <c r="I815">
        <v>-8000</v>
      </c>
    </row>
    <row r="816" spans="1:9" x14ac:dyDescent="0.3">
      <c r="A816" s="49" t="s">
        <v>42</v>
      </c>
      <c r="C816">
        <v>-5000</v>
      </c>
      <c r="D816">
        <v>3000</v>
      </c>
      <c r="E816">
        <v>3000</v>
      </c>
      <c r="F816">
        <v>2000</v>
      </c>
      <c r="G816">
        <v>-9000</v>
      </c>
      <c r="H816">
        <v>-9000</v>
      </c>
      <c r="I816">
        <v>-9000</v>
      </c>
    </row>
    <row r="817" spans="1:9" x14ac:dyDescent="0.3">
      <c r="A817" s="49" t="s">
        <v>43</v>
      </c>
      <c r="C817">
        <v>-4000</v>
      </c>
      <c r="D817">
        <v>2000</v>
      </c>
      <c r="E817">
        <v>2000</v>
      </c>
      <c r="F817">
        <v>1000</v>
      </c>
      <c r="G817">
        <v>-10000</v>
      </c>
      <c r="H817">
        <v>-10000</v>
      </c>
      <c r="I817">
        <v>-10000</v>
      </c>
    </row>
    <row r="818" spans="1:9" x14ac:dyDescent="0.3">
      <c r="A818" s="48" t="s">
        <v>44</v>
      </c>
      <c r="C818">
        <v>-3000</v>
      </c>
      <c r="D818">
        <v>1000</v>
      </c>
      <c r="E818">
        <v>1000</v>
      </c>
      <c r="F818">
        <v>0</v>
      </c>
      <c r="G818">
        <v>-11000</v>
      </c>
      <c r="H818">
        <v>-11000</v>
      </c>
      <c r="I818">
        <v>-11000</v>
      </c>
    </row>
    <row r="819" spans="1:9" x14ac:dyDescent="0.3">
      <c r="A819" s="48" t="s">
        <v>54</v>
      </c>
      <c r="C819">
        <v>-2000</v>
      </c>
      <c r="D819">
        <v>0</v>
      </c>
      <c r="E819">
        <v>0</v>
      </c>
      <c r="F819">
        <v>-1000</v>
      </c>
      <c r="G819">
        <v>-12000</v>
      </c>
      <c r="H819">
        <v>-12000</v>
      </c>
      <c r="I819">
        <v>-12000</v>
      </c>
    </row>
    <row r="820" spans="1:9" x14ac:dyDescent="0.3">
      <c r="A820" s="48" t="s">
        <v>55</v>
      </c>
      <c r="C820">
        <v>-1000</v>
      </c>
      <c r="D820">
        <v>-1000</v>
      </c>
      <c r="E820">
        <v>-1000</v>
      </c>
      <c r="F820">
        <v>-2000</v>
      </c>
      <c r="G820">
        <v>-13000</v>
      </c>
      <c r="H820">
        <v>-13000</v>
      </c>
      <c r="I820">
        <v>-13000</v>
      </c>
    </row>
    <row r="821" spans="1:9" x14ac:dyDescent="0.3">
      <c r="A821" s="48" t="s">
        <v>56</v>
      </c>
      <c r="C821">
        <v>0</v>
      </c>
      <c r="D821">
        <v>-2000</v>
      </c>
      <c r="E821">
        <v>-2000</v>
      </c>
      <c r="F821">
        <v>-3000</v>
      </c>
      <c r="G821">
        <v>-14000</v>
      </c>
      <c r="H821">
        <v>-14000</v>
      </c>
      <c r="I821">
        <v>-14000</v>
      </c>
    </row>
    <row r="822" spans="1:9" x14ac:dyDescent="0.3">
      <c r="A822" s="48" t="s">
        <v>57</v>
      </c>
      <c r="C822">
        <v>1000</v>
      </c>
      <c r="D822">
        <v>-3000</v>
      </c>
      <c r="E822">
        <v>-3000</v>
      </c>
      <c r="F822">
        <v>-4000</v>
      </c>
      <c r="G822">
        <v>-15000</v>
      </c>
      <c r="H822">
        <v>-15000</v>
      </c>
      <c r="I822">
        <v>-15000</v>
      </c>
    </row>
    <row r="823" spans="1:9" x14ac:dyDescent="0.3">
      <c r="A823" s="48" t="s">
        <v>58</v>
      </c>
      <c r="C823">
        <v>2000</v>
      </c>
      <c r="D823">
        <v>-4000</v>
      </c>
      <c r="E823">
        <v>-4000</v>
      </c>
      <c r="F823">
        <v>-5000</v>
      </c>
      <c r="G823">
        <v>-16000</v>
      </c>
      <c r="H823">
        <v>-16000</v>
      </c>
      <c r="I823">
        <v>-16000</v>
      </c>
    </row>
    <row r="824" spans="1:9" x14ac:dyDescent="0.3">
      <c r="A824" s="15" t="s">
        <v>59</v>
      </c>
    </row>
    <row r="825" spans="1:9" x14ac:dyDescent="0.3">
      <c r="A825" s="48" t="s">
        <v>35</v>
      </c>
      <c r="C825">
        <v>-8000</v>
      </c>
      <c r="D825">
        <v>7000</v>
      </c>
      <c r="E825">
        <v>4000</v>
      </c>
      <c r="F825">
        <v>3000</v>
      </c>
      <c r="G825">
        <v>-8000</v>
      </c>
      <c r="H825">
        <v>-8000</v>
      </c>
      <c r="I825">
        <v>-8000</v>
      </c>
    </row>
    <row r="826" spans="1:9" x14ac:dyDescent="0.3">
      <c r="A826" s="48" t="s">
        <v>41</v>
      </c>
      <c r="C826">
        <v>-7000</v>
      </c>
      <c r="D826">
        <v>6000</v>
      </c>
      <c r="E826">
        <v>3000</v>
      </c>
      <c r="F826">
        <v>2000</v>
      </c>
      <c r="G826">
        <v>-9000</v>
      </c>
      <c r="H826">
        <v>-9000</v>
      </c>
      <c r="I826">
        <v>-9000</v>
      </c>
    </row>
    <row r="827" spans="1:9" x14ac:dyDescent="0.3">
      <c r="A827" s="48" t="s">
        <v>42</v>
      </c>
      <c r="C827">
        <v>-6000</v>
      </c>
      <c r="D827">
        <v>5000</v>
      </c>
      <c r="E827">
        <v>2000</v>
      </c>
      <c r="F827">
        <v>1000</v>
      </c>
      <c r="G827">
        <v>-10000</v>
      </c>
      <c r="H827">
        <v>-10000</v>
      </c>
      <c r="I827">
        <v>-10000</v>
      </c>
    </row>
    <row r="828" spans="1:9" x14ac:dyDescent="0.3">
      <c r="A828" s="48" t="s">
        <v>43</v>
      </c>
      <c r="C828">
        <v>-5000</v>
      </c>
      <c r="D828">
        <v>4000</v>
      </c>
      <c r="E828">
        <v>1000</v>
      </c>
      <c r="F828">
        <v>0</v>
      </c>
      <c r="G828">
        <v>-11000</v>
      </c>
      <c r="H828">
        <v>-11000</v>
      </c>
      <c r="I828">
        <v>-11000</v>
      </c>
    </row>
    <row r="829" spans="1:9" x14ac:dyDescent="0.3">
      <c r="A829" s="48" t="s">
        <v>44</v>
      </c>
      <c r="C829">
        <v>-4000</v>
      </c>
      <c r="D829">
        <v>3000</v>
      </c>
      <c r="E829">
        <v>0</v>
      </c>
      <c r="F829">
        <v>-1000</v>
      </c>
      <c r="G829">
        <v>-12000</v>
      </c>
      <c r="H829">
        <v>-12000</v>
      </c>
      <c r="I829">
        <v>-12000</v>
      </c>
    </row>
    <row r="830" spans="1:9" x14ac:dyDescent="0.3">
      <c r="A830" s="48" t="s">
        <v>54</v>
      </c>
      <c r="C830">
        <v>-3000</v>
      </c>
      <c r="D830">
        <v>2000</v>
      </c>
      <c r="E830">
        <v>-1000</v>
      </c>
      <c r="F830">
        <v>-2000</v>
      </c>
      <c r="G830">
        <v>-13000</v>
      </c>
      <c r="H830">
        <v>-13000</v>
      </c>
      <c r="I830">
        <v>-13000</v>
      </c>
    </row>
    <row r="831" spans="1:9" x14ac:dyDescent="0.3">
      <c r="A831" s="48" t="s">
        <v>55</v>
      </c>
      <c r="C831">
        <v>-2000</v>
      </c>
      <c r="D831">
        <v>1000</v>
      </c>
      <c r="E831">
        <v>-2000</v>
      </c>
      <c r="F831">
        <v>-3000</v>
      </c>
      <c r="G831">
        <v>-14000</v>
      </c>
      <c r="H831">
        <v>-14000</v>
      </c>
      <c r="I831">
        <v>-14000</v>
      </c>
    </row>
    <row r="832" spans="1:9" x14ac:dyDescent="0.3">
      <c r="A832" s="48" t="s">
        <v>56</v>
      </c>
      <c r="C832">
        <v>-1000</v>
      </c>
      <c r="D832">
        <v>0</v>
      </c>
      <c r="E832">
        <v>-3000</v>
      </c>
      <c r="F832">
        <v>-4000</v>
      </c>
      <c r="G832">
        <v>-15000</v>
      </c>
      <c r="H832">
        <v>-15000</v>
      </c>
      <c r="I832">
        <v>-15000</v>
      </c>
    </row>
    <row r="833" spans="1:9" x14ac:dyDescent="0.3">
      <c r="A833" s="48" t="s">
        <v>57</v>
      </c>
      <c r="C833">
        <v>0</v>
      </c>
      <c r="D833">
        <v>-1000</v>
      </c>
      <c r="E833">
        <v>-4000</v>
      </c>
      <c r="F833">
        <v>-5000</v>
      </c>
      <c r="G833">
        <v>-16000</v>
      </c>
      <c r="H833">
        <v>-16000</v>
      </c>
      <c r="I833">
        <v>-16000</v>
      </c>
    </row>
    <row r="834" spans="1:9" x14ac:dyDescent="0.3">
      <c r="A834" s="48" t="s">
        <v>58</v>
      </c>
      <c r="C834">
        <v>1000</v>
      </c>
      <c r="D834">
        <v>-2000</v>
      </c>
      <c r="E834">
        <v>-5000</v>
      </c>
      <c r="F834">
        <v>-6000</v>
      </c>
      <c r="G834">
        <v>-17000</v>
      </c>
      <c r="H834">
        <v>-17000</v>
      </c>
      <c r="I834">
        <v>-17000</v>
      </c>
    </row>
    <row r="835" spans="1:9" x14ac:dyDescent="0.3">
      <c r="A835" s="15" t="s">
        <v>60</v>
      </c>
    </row>
    <row r="836" spans="1:9" x14ac:dyDescent="0.3">
      <c r="A836" s="48" t="s">
        <v>35</v>
      </c>
      <c r="C836">
        <v>-9000</v>
      </c>
      <c r="D836">
        <v>9000</v>
      </c>
      <c r="E836">
        <v>3000</v>
      </c>
      <c r="F836">
        <v>2000</v>
      </c>
      <c r="G836">
        <v>-9000</v>
      </c>
      <c r="H836">
        <v>-9000</v>
      </c>
      <c r="I836">
        <v>-9000</v>
      </c>
    </row>
    <row r="837" spans="1:9" x14ac:dyDescent="0.3">
      <c r="A837" s="48" t="s">
        <v>41</v>
      </c>
      <c r="C837">
        <v>-8000</v>
      </c>
      <c r="D837">
        <v>8000</v>
      </c>
      <c r="E837">
        <v>2000</v>
      </c>
      <c r="F837">
        <v>1000</v>
      </c>
      <c r="G837">
        <v>-10000</v>
      </c>
      <c r="H837">
        <v>-10000</v>
      </c>
      <c r="I837">
        <v>-10000</v>
      </c>
    </row>
    <row r="838" spans="1:9" x14ac:dyDescent="0.3">
      <c r="A838" s="48" t="s">
        <v>42</v>
      </c>
      <c r="C838">
        <v>-7000</v>
      </c>
      <c r="D838">
        <v>7000</v>
      </c>
      <c r="E838">
        <v>1000</v>
      </c>
      <c r="F838">
        <v>0</v>
      </c>
      <c r="G838">
        <v>-11000</v>
      </c>
      <c r="H838">
        <v>-11000</v>
      </c>
      <c r="I838">
        <v>-11000</v>
      </c>
    </row>
    <row r="839" spans="1:9" x14ac:dyDescent="0.3">
      <c r="A839" s="48" t="s">
        <v>43</v>
      </c>
      <c r="C839">
        <v>-6000</v>
      </c>
      <c r="D839">
        <v>6000</v>
      </c>
      <c r="E839">
        <v>0</v>
      </c>
      <c r="F839">
        <v>-1000</v>
      </c>
      <c r="G839">
        <v>-12000</v>
      </c>
      <c r="H839">
        <v>-12000</v>
      </c>
      <c r="I839">
        <v>-12000</v>
      </c>
    </row>
    <row r="840" spans="1:9" x14ac:dyDescent="0.3">
      <c r="A840" s="48" t="s">
        <v>44</v>
      </c>
      <c r="C840">
        <v>-5000</v>
      </c>
      <c r="D840">
        <v>5000</v>
      </c>
      <c r="E840">
        <v>-1000</v>
      </c>
      <c r="F840">
        <v>-2000</v>
      </c>
      <c r="G840">
        <v>-13000</v>
      </c>
      <c r="H840">
        <v>-13000</v>
      </c>
      <c r="I840">
        <v>-13000</v>
      </c>
    </row>
    <row r="841" spans="1:9" x14ac:dyDescent="0.3">
      <c r="A841" s="48" t="s">
        <v>54</v>
      </c>
      <c r="C841">
        <v>-4000</v>
      </c>
      <c r="D841">
        <v>4000</v>
      </c>
      <c r="E841">
        <v>-2000</v>
      </c>
      <c r="F841">
        <v>-3000</v>
      </c>
      <c r="G841">
        <v>-14000</v>
      </c>
      <c r="H841">
        <v>-14000</v>
      </c>
      <c r="I841">
        <v>-14000</v>
      </c>
    </row>
    <row r="842" spans="1:9" x14ac:dyDescent="0.3">
      <c r="A842" s="48" t="s">
        <v>55</v>
      </c>
      <c r="C842">
        <v>-3000</v>
      </c>
      <c r="D842">
        <v>3000</v>
      </c>
      <c r="E842">
        <v>-3000</v>
      </c>
      <c r="F842">
        <v>-4000</v>
      </c>
      <c r="G842">
        <v>-15000</v>
      </c>
      <c r="H842">
        <v>-15000</v>
      </c>
      <c r="I842">
        <v>-15000</v>
      </c>
    </row>
    <row r="843" spans="1:9" x14ac:dyDescent="0.3">
      <c r="A843" s="48" t="s">
        <v>56</v>
      </c>
      <c r="C843">
        <v>-2000</v>
      </c>
      <c r="D843">
        <v>2000</v>
      </c>
      <c r="E843">
        <v>-4000</v>
      </c>
      <c r="F843">
        <v>-5000</v>
      </c>
      <c r="G843">
        <v>-16000</v>
      </c>
      <c r="H843">
        <v>-16000</v>
      </c>
      <c r="I843">
        <v>-16000</v>
      </c>
    </row>
    <row r="844" spans="1:9" x14ac:dyDescent="0.3">
      <c r="A844" s="48" t="s">
        <v>57</v>
      </c>
      <c r="C844">
        <v>-1000</v>
      </c>
      <c r="D844">
        <v>1000</v>
      </c>
      <c r="E844">
        <v>-5000</v>
      </c>
      <c r="F844">
        <v>-6000</v>
      </c>
      <c r="G844">
        <v>-17000</v>
      </c>
      <c r="H844">
        <v>-17000</v>
      </c>
      <c r="I844">
        <v>-17000</v>
      </c>
    </row>
    <row r="845" spans="1:9" x14ac:dyDescent="0.3">
      <c r="A845" s="48" t="s">
        <v>58</v>
      </c>
      <c r="C845">
        <v>0</v>
      </c>
      <c r="D845">
        <v>0</v>
      </c>
      <c r="E845">
        <v>-6000</v>
      </c>
      <c r="F845">
        <v>-7000</v>
      </c>
      <c r="G845">
        <v>-18000</v>
      </c>
      <c r="H845">
        <v>-18000</v>
      </c>
      <c r="I845">
        <v>-18000</v>
      </c>
    </row>
    <row r="846" spans="1:9" x14ac:dyDescent="0.3">
      <c r="A846" s="15" t="s">
        <v>61</v>
      </c>
    </row>
    <row r="847" spans="1:9" x14ac:dyDescent="0.3">
      <c r="A847" s="48" t="s">
        <v>35</v>
      </c>
      <c r="C847">
        <v>-10000</v>
      </c>
      <c r="D847">
        <v>11000</v>
      </c>
      <c r="E847">
        <v>2000</v>
      </c>
      <c r="F847">
        <v>1000</v>
      </c>
      <c r="G847">
        <v>-10000</v>
      </c>
      <c r="H847">
        <v>-10000</v>
      </c>
      <c r="I847">
        <v>-10000</v>
      </c>
    </row>
    <row r="848" spans="1:9" x14ac:dyDescent="0.3">
      <c r="A848" s="48" t="s">
        <v>41</v>
      </c>
      <c r="C848">
        <v>-9000</v>
      </c>
      <c r="D848">
        <v>10000</v>
      </c>
      <c r="E848">
        <v>1000</v>
      </c>
      <c r="F848">
        <v>0</v>
      </c>
      <c r="G848">
        <v>-11000</v>
      </c>
      <c r="H848">
        <v>-11000</v>
      </c>
      <c r="I848">
        <v>-11000</v>
      </c>
    </row>
    <row r="849" spans="1:9" x14ac:dyDescent="0.3">
      <c r="A849" s="48" t="s">
        <v>42</v>
      </c>
      <c r="C849">
        <v>-8000</v>
      </c>
      <c r="D849">
        <v>9000</v>
      </c>
      <c r="E849">
        <v>0</v>
      </c>
      <c r="F849">
        <v>-1000</v>
      </c>
      <c r="G849">
        <v>-12000</v>
      </c>
      <c r="H849">
        <v>-12000</v>
      </c>
      <c r="I849">
        <v>-12000</v>
      </c>
    </row>
    <row r="850" spans="1:9" x14ac:dyDescent="0.3">
      <c r="A850" s="48" t="s">
        <v>43</v>
      </c>
      <c r="C850">
        <v>-7000</v>
      </c>
      <c r="D850">
        <v>8000</v>
      </c>
      <c r="E850">
        <v>-1000</v>
      </c>
      <c r="F850">
        <v>-2000</v>
      </c>
      <c r="G850">
        <v>-13000</v>
      </c>
      <c r="H850">
        <v>-13000</v>
      </c>
      <c r="I850">
        <v>-13000</v>
      </c>
    </row>
    <row r="851" spans="1:9" x14ac:dyDescent="0.3">
      <c r="A851" s="48" t="s">
        <v>44</v>
      </c>
      <c r="C851">
        <v>-6000</v>
      </c>
      <c r="D851">
        <v>7000</v>
      </c>
      <c r="E851">
        <v>-2000</v>
      </c>
      <c r="F851">
        <v>-3000</v>
      </c>
      <c r="G851">
        <v>-14000</v>
      </c>
      <c r="H851">
        <v>-14000</v>
      </c>
      <c r="I851">
        <v>-14000</v>
      </c>
    </row>
    <row r="852" spans="1:9" x14ac:dyDescent="0.3">
      <c r="A852" s="48" t="s">
        <v>54</v>
      </c>
      <c r="C852">
        <v>-5000</v>
      </c>
      <c r="D852">
        <v>6000</v>
      </c>
      <c r="E852">
        <v>-3000</v>
      </c>
      <c r="F852">
        <v>-4000</v>
      </c>
      <c r="G852">
        <v>-15000</v>
      </c>
      <c r="H852">
        <v>-15000</v>
      </c>
      <c r="I852">
        <v>-15000</v>
      </c>
    </row>
    <row r="853" spans="1:9" x14ac:dyDescent="0.3">
      <c r="A853" s="48" t="s">
        <v>55</v>
      </c>
      <c r="C853">
        <v>-4000</v>
      </c>
      <c r="D853">
        <v>5000</v>
      </c>
      <c r="E853">
        <v>-4000</v>
      </c>
      <c r="F853">
        <v>-5000</v>
      </c>
      <c r="G853">
        <v>-16000</v>
      </c>
      <c r="H853">
        <v>-16000</v>
      </c>
      <c r="I853">
        <v>-16000</v>
      </c>
    </row>
    <row r="854" spans="1:9" x14ac:dyDescent="0.3">
      <c r="A854" s="48" t="s">
        <v>56</v>
      </c>
      <c r="C854">
        <v>-3000</v>
      </c>
      <c r="D854">
        <v>4000</v>
      </c>
      <c r="E854">
        <v>-5000</v>
      </c>
      <c r="F854">
        <v>-6000</v>
      </c>
      <c r="G854">
        <v>-17000</v>
      </c>
      <c r="H854">
        <v>-17000</v>
      </c>
      <c r="I854">
        <v>-17000</v>
      </c>
    </row>
    <row r="855" spans="1:9" x14ac:dyDescent="0.3">
      <c r="A855" s="48" t="s">
        <v>57</v>
      </c>
      <c r="C855">
        <v>-2000</v>
      </c>
      <c r="D855">
        <v>3000</v>
      </c>
      <c r="E855">
        <v>-6000</v>
      </c>
      <c r="F855">
        <v>-7000</v>
      </c>
      <c r="G855">
        <v>-18000</v>
      </c>
      <c r="H855">
        <v>-18000</v>
      </c>
      <c r="I855">
        <v>-18000</v>
      </c>
    </row>
    <row r="856" spans="1:9" x14ac:dyDescent="0.3">
      <c r="A856" s="48" t="s">
        <v>58</v>
      </c>
      <c r="C856">
        <v>-1000</v>
      </c>
      <c r="D856">
        <v>2000</v>
      </c>
      <c r="E856">
        <v>-7000</v>
      </c>
      <c r="F856">
        <v>-8000</v>
      </c>
      <c r="G856">
        <v>-19000</v>
      </c>
      <c r="H856">
        <v>-19000</v>
      </c>
      <c r="I856">
        <v>-19000</v>
      </c>
    </row>
    <row r="857" spans="1:9" x14ac:dyDescent="0.3">
      <c r="A857" s="15" t="s">
        <v>62</v>
      </c>
    </row>
    <row r="858" spans="1:9" x14ac:dyDescent="0.3">
      <c r="A858" s="48" t="s">
        <v>35</v>
      </c>
      <c r="C858">
        <v>-11000</v>
      </c>
      <c r="D858">
        <v>13000</v>
      </c>
      <c r="E858">
        <v>1000</v>
      </c>
      <c r="F858">
        <v>0</v>
      </c>
      <c r="G858">
        <v>-11000</v>
      </c>
      <c r="H858">
        <v>-11000</v>
      </c>
      <c r="I858">
        <v>-11000</v>
      </c>
    </row>
    <row r="859" spans="1:9" x14ac:dyDescent="0.3">
      <c r="A859" s="48" t="s">
        <v>41</v>
      </c>
      <c r="C859">
        <v>-10000</v>
      </c>
      <c r="D859">
        <v>12000</v>
      </c>
      <c r="E859">
        <v>0</v>
      </c>
      <c r="F859">
        <v>-1000</v>
      </c>
      <c r="G859">
        <v>-12000</v>
      </c>
      <c r="H859">
        <v>-12000</v>
      </c>
      <c r="I859">
        <v>-12000</v>
      </c>
    </row>
    <row r="860" spans="1:9" x14ac:dyDescent="0.3">
      <c r="A860" s="48" t="s">
        <v>42</v>
      </c>
      <c r="C860">
        <v>-9000</v>
      </c>
      <c r="D860">
        <v>11000</v>
      </c>
      <c r="E860">
        <v>-1000</v>
      </c>
      <c r="F860">
        <v>-2000</v>
      </c>
      <c r="G860">
        <v>-13000</v>
      </c>
      <c r="H860">
        <v>-13000</v>
      </c>
      <c r="I860">
        <v>-13000</v>
      </c>
    </row>
    <row r="861" spans="1:9" x14ac:dyDescent="0.3">
      <c r="A861" s="48" t="s">
        <v>43</v>
      </c>
      <c r="C861">
        <v>-8000</v>
      </c>
      <c r="D861">
        <v>10000</v>
      </c>
      <c r="E861">
        <v>-2000</v>
      </c>
      <c r="F861">
        <v>-3000</v>
      </c>
      <c r="G861">
        <v>-14000</v>
      </c>
      <c r="H861">
        <v>-14000</v>
      </c>
      <c r="I861">
        <v>-14000</v>
      </c>
    </row>
    <row r="862" spans="1:9" x14ac:dyDescent="0.3">
      <c r="A862" s="48" t="s">
        <v>44</v>
      </c>
      <c r="C862">
        <v>-7000</v>
      </c>
      <c r="D862">
        <v>9000</v>
      </c>
      <c r="E862">
        <v>-3000</v>
      </c>
      <c r="F862">
        <v>-4000</v>
      </c>
      <c r="G862">
        <v>-15000</v>
      </c>
      <c r="H862">
        <v>-15000</v>
      </c>
      <c r="I862">
        <v>-15000</v>
      </c>
    </row>
    <row r="863" spans="1:9" x14ac:dyDescent="0.3">
      <c r="A863" s="48" t="s">
        <v>54</v>
      </c>
      <c r="C863">
        <v>-6000</v>
      </c>
      <c r="D863">
        <v>8000</v>
      </c>
      <c r="E863">
        <v>-4000</v>
      </c>
      <c r="F863">
        <v>-5000</v>
      </c>
      <c r="G863">
        <v>-16000</v>
      </c>
      <c r="H863">
        <v>-16000</v>
      </c>
      <c r="I863">
        <v>-16000</v>
      </c>
    </row>
    <row r="864" spans="1:9" x14ac:dyDescent="0.3">
      <c r="A864" s="48" t="s">
        <v>55</v>
      </c>
      <c r="C864">
        <v>-5000</v>
      </c>
      <c r="D864">
        <v>7000</v>
      </c>
      <c r="E864">
        <v>-5000</v>
      </c>
      <c r="F864">
        <v>-6000</v>
      </c>
      <c r="G864">
        <v>-17000</v>
      </c>
      <c r="H864">
        <v>-17000</v>
      </c>
      <c r="I864">
        <v>-17000</v>
      </c>
    </row>
    <row r="865" spans="1:9" x14ac:dyDescent="0.3">
      <c r="A865" s="48" t="s">
        <v>56</v>
      </c>
      <c r="C865">
        <v>-4000</v>
      </c>
      <c r="D865">
        <v>6000</v>
      </c>
      <c r="E865">
        <v>-6000</v>
      </c>
      <c r="F865">
        <v>-7000</v>
      </c>
      <c r="G865">
        <v>-18000</v>
      </c>
      <c r="H865">
        <v>-18000</v>
      </c>
      <c r="I865">
        <v>-18000</v>
      </c>
    </row>
    <row r="866" spans="1:9" x14ac:dyDescent="0.3">
      <c r="A866" s="48" t="s">
        <v>57</v>
      </c>
      <c r="C866">
        <v>-3000</v>
      </c>
      <c r="D866">
        <v>5000</v>
      </c>
      <c r="E866">
        <v>-7000</v>
      </c>
      <c r="F866">
        <v>-8000</v>
      </c>
      <c r="G866">
        <v>-19000</v>
      </c>
      <c r="H866">
        <v>-19000</v>
      </c>
      <c r="I866">
        <v>-19000</v>
      </c>
    </row>
    <row r="867" spans="1:9" x14ac:dyDescent="0.3">
      <c r="A867" s="48" t="s">
        <v>58</v>
      </c>
      <c r="C867">
        <v>-2000</v>
      </c>
      <c r="D867">
        <v>4000</v>
      </c>
      <c r="E867">
        <v>-8000</v>
      </c>
      <c r="F867">
        <v>-9000</v>
      </c>
      <c r="G867">
        <v>-20000</v>
      </c>
      <c r="H867">
        <v>-20000</v>
      </c>
      <c r="I867">
        <v>-20000</v>
      </c>
    </row>
    <row r="868" spans="1:9" x14ac:dyDescent="0.3">
      <c r="A868" s="15" t="s">
        <v>63</v>
      </c>
    </row>
    <row r="869" spans="1:9" x14ac:dyDescent="0.3">
      <c r="A869" s="48" t="s">
        <v>35</v>
      </c>
      <c r="C869">
        <v>-12000</v>
      </c>
      <c r="D869">
        <v>15000</v>
      </c>
      <c r="E869">
        <v>0</v>
      </c>
      <c r="F869">
        <v>-1000</v>
      </c>
      <c r="G869">
        <v>-12000</v>
      </c>
      <c r="H869">
        <v>-12000</v>
      </c>
      <c r="I869">
        <v>-12000</v>
      </c>
    </row>
    <row r="870" spans="1:9" x14ac:dyDescent="0.3">
      <c r="A870" s="48" t="s">
        <v>41</v>
      </c>
      <c r="C870">
        <v>-11000</v>
      </c>
      <c r="D870">
        <v>14000</v>
      </c>
      <c r="E870">
        <v>-1000</v>
      </c>
      <c r="F870">
        <v>-2000</v>
      </c>
      <c r="G870">
        <v>-13000</v>
      </c>
      <c r="H870">
        <v>-13000</v>
      </c>
      <c r="I870">
        <v>-13000</v>
      </c>
    </row>
    <row r="871" spans="1:9" x14ac:dyDescent="0.3">
      <c r="A871" s="48" t="s">
        <v>42</v>
      </c>
      <c r="C871">
        <v>-10000</v>
      </c>
      <c r="D871">
        <v>13000</v>
      </c>
      <c r="E871">
        <v>-2000</v>
      </c>
      <c r="F871">
        <v>-3000</v>
      </c>
      <c r="G871">
        <v>-14000</v>
      </c>
      <c r="H871">
        <v>-14000</v>
      </c>
      <c r="I871">
        <v>-14000</v>
      </c>
    </row>
    <row r="872" spans="1:9" x14ac:dyDescent="0.3">
      <c r="A872" s="48" t="s">
        <v>43</v>
      </c>
      <c r="C872">
        <v>-9000</v>
      </c>
      <c r="D872">
        <v>12000</v>
      </c>
      <c r="E872">
        <v>-3000</v>
      </c>
      <c r="F872">
        <v>-4000</v>
      </c>
      <c r="G872">
        <v>-15000</v>
      </c>
      <c r="H872">
        <v>-15000</v>
      </c>
      <c r="I872">
        <v>-15000</v>
      </c>
    </row>
    <row r="873" spans="1:9" x14ac:dyDescent="0.3">
      <c r="A873" s="48" t="s">
        <v>44</v>
      </c>
      <c r="C873">
        <v>-8000</v>
      </c>
      <c r="D873">
        <v>11000</v>
      </c>
      <c r="E873">
        <v>-4000</v>
      </c>
      <c r="F873">
        <v>-5000</v>
      </c>
      <c r="G873">
        <v>-16000</v>
      </c>
      <c r="H873">
        <v>-16000</v>
      </c>
      <c r="I873">
        <v>-16000</v>
      </c>
    </row>
    <row r="874" spans="1:9" x14ac:dyDescent="0.3">
      <c r="A874" s="48" t="s">
        <v>54</v>
      </c>
      <c r="C874">
        <v>-7000</v>
      </c>
      <c r="D874">
        <v>10000</v>
      </c>
      <c r="E874">
        <v>-5000</v>
      </c>
      <c r="F874">
        <v>-6000</v>
      </c>
      <c r="G874">
        <v>-17000</v>
      </c>
      <c r="H874">
        <v>-17000</v>
      </c>
      <c r="I874">
        <v>-17000</v>
      </c>
    </row>
    <row r="875" spans="1:9" x14ac:dyDescent="0.3">
      <c r="A875" s="48" t="s">
        <v>55</v>
      </c>
      <c r="C875">
        <v>-6000</v>
      </c>
      <c r="D875">
        <v>9000</v>
      </c>
      <c r="E875">
        <v>-6000</v>
      </c>
      <c r="F875">
        <v>-7000</v>
      </c>
      <c r="G875">
        <v>-18000</v>
      </c>
      <c r="H875">
        <v>-18000</v>
      </c>
      <c r="I875">
        <v>-18000</v>
      </c>
    </row>
    <row r="876" spans="1:9" x14ac:dyDescent="0.3">
      <c r="A876" s="48" t="s">
        <v>56</v>
      </c>
      <c r="C876">
        <v>-5000</v>
      </c>
      <c r="D876">
        <v>8000</v>
      </c>
      <c r="E876">
        <v>-7000</v>
      </c>
      <c r="F876">
        <v>-8000</v>
      </c>
      <c r="G876">
        <v>-19000</v>
      </c>
      <c r="H876">
        <v>-19000</v>
      </c>
      <c r="I876">
        <v>-19000</v>
      </c>
    </row>
    <row r="877" spans="1:9" x14ac:dyDescent="0.3">
      <c r="A877" s="48" t="s">
        <v>57</v>
      </c>
      <c r="C877">
        <v>-4000</v>
      </c>
      <c r="D877">
        <v>7000</v>
      </c>
      <c r="E877">
        <v>-8000</v>
      </c>
      <c r="F877">
        <v>-9000</v>
      </c>
      <c r="G877">
        <v>-20000</v>
      </c>
      <c r="H877">
        <v>-20000</v>
      </c>
      <c r="I877">
        <v>-20000</v>
      </c>
    </row>
    <row r="878" spans="1:9" x14ac:dyDescent="0.3">
      <c r="A878" s="48" t="s">
        <v>58</v>
      </c>
      <c r="C878">
        <v>-3000</v>
      </c>
      <c r="D878">
        <v>6000</v>
      </c>
      <c r="E878">
        <v>-9000</v>
      </c>
      <c r="F878">
        <v>-10000</v>
      </c>
      <c r="G878">
        <v>-21000</v>
      </c>
      <c r="H878">
        <v>-21000</v>
      </c>
      <c r="I878">
        <v>-21000</v>
      </c>
    </row>
    <row r="879" spans="1:9" x14ac:dyDescent="0.3">
      <c r="A879" s="14" t="s">
        <v>51</v>
      </c>
    </row>
    <row r="880" spans="1:9" x14ac:dyDescent="0.3">
      <c r="A880" s="15" t="s">
        <v>34</v>
      </c>
    </row>
    <row r="881" spans="1:9" x14ac:dyDescent="0.3">
      <c r="A881" s="48" t="s">
        <v>35</v>
      </c>
      <c r="C881">
        <v>-4000</v>
      </c>
      <c r="D881">
        <v>-4000</v>
      </c>
      <c r="E881">
        <v>14000</v>
      </c>
      <c r="F881">
        <v>7000</v>
      </c>
      <c r="G881">
        <v>-4000</v>
      </c>
      <c r="H881">
        <v>-4000</v>
      </c>
      <c r="I881">
        <v>-4000</v>
      </c>
    </row>
    <row r="882" spans="1:9" x14ac:dyDescent="0.3">
      <c r="A882" s="48" t="s">
        <v>41</v>
      </c>
      <c r="C882">
        <v>-3000</v>
      </c>
      <c r="D882">
        <v>-5000</v>
      </c>
      <c r="E882">
        <v>13000</v>
      </c>
      <c r="F882">
        <v>6000</v>
      </c>
      <c r="G882">
        <v>-5000</v>
      </c>
      <c r="H882">
        <v>-5000</v>
      </c>
      <c r="I882">
        <v>-5000</v>
      </c>
    </row>
    <row r="883" spans="1:9" x14ac:dyDescent="0.3">
      <c r="A883" s="48" t="s">
        <v>42</v>
      </c>
      <c r="C883">
        <v>-2000</v>
      </c>
      <c r="D883">
        <v>-6000</v>
      </c>
      <c r="E883">
        <v>12000</v>
      </c>
      <c r="F883">
        <v>5000</v>
      </c>
      <c r="G883">
        <v>-6000</v>
      </c>
      <c r="H883">
        <v>-6000</v>
      </c>
      <c r="I883">
        <v>-6000</v>
      </c>
    </row>
    <row r="884" spans="1:9" x14ac:dyDescent="0.3">
      <c r="A884" s="48" t="s">
        <v>43</v>
      </c>
      <c r="C884">
        <v>-1000</v>
      </c>
      <c r="D884">
        <v>-7000</v>
      </c>
      <c r="E884">
        <v>11000</v>
      </c>
      <c r="F884">
        <v>4000</v>
      </c>
      <c r="G884">
        <v>-7000</v>
      </c>
      <c r="H884">
        <v>-7000</v>
      </c>
      <c r="I884">
        <v>-7000</v>
      </c>
    </row>
    <row r="885" spans="1:9" x14ac:dyDescent="0.3">
      <c r="A885" s="48" t="s">
        <v>44</v>
      </c>
      <c r="C885">
        <v>0</v>
      </c>
      <c r="D885">
        <v>-8000</v>
      </c>
      <c r="E885">
        <v>10000</v>
      </c>
      <c r="F885">
        <v>3000</v>
      </c>
      <c r="G885">
        <v>-8000</v>
      </c>
      <c r="H885">
        <v>-8000</v>
      </c>
      <c r="I885">
        <v>-8000</v>
      </c>
    </row>
    <row r="886" spans="1:9" x14ac:dyDescent="0.3">
      <c r="A886" s="48" t="s">
        <v>54</v>
      </c>
      <c r="C886">
        <v>1000</v>
      </c>
      <c r="D886">
        <v>-9000</v>
      </c>
      <c r="E886">
        <v>9000</v>
      </c>
      <c r="F886">
        <v>2000</v>
      </c>
      <c r="G886">
        <v>-9000</v>
      </c>
      <c r="H886">
        <v>-9000</v>
      </c>
      <c r="I886">
        <v>-9000</v>
      </c>
    </row>
    <row r="887" spans="1:9" x14ac:dyDescent="0.3">
      <c r="A887" s="48" t="s">
        <v>55</v>
      </c>
      <c r="C887">
        <v>2000</v>
      </c>
      <c r="D887">
        <v>-10000</v>
      </c>
      <c r="E887">
        <v>8000</v>
      </c>
      <c r="F887">
        <v>1000</v>
      </c>
      <c r="G887">
        <v>-10000</v>
      </c>
      <c r="H887">
        <v>-10000</v>
      </c>
      <c r="I887">
        <v>-10000</v>
      </c>
    </row>
    <row r="888" spans="1:9" x14ac:dyDescent="0.3">
      <c r="A888" s="48" t="s">
        <v>56</v>
      </c>
      <c r="C888">
        <v>3000</v>
      </c>
      <c r="D888">
        <v>-11000</v>
      </c>
      <c r="E888">
        <v>7000</v>
      </c>
      <c r="F888">
        <v>0</v>
      </c>
      <c r="G888">
        <v>-11000</v>
      </c>
      <c r="H888">
        <v>-11000</v>
      </c>
      <c r="I888">
        <v>-11000</v>
      </c>
    </row>
    <row r="889" spans="1:9" x14ac:dyDescent="0.3">
      <c r="A889" s="48" t="s">
        <v>57</v>
      </c>
      <c r="C889">
        <v>4000</v>
      </c>
      <c r="D889">
        <v>-12000</v>
      </c>
      <c r="E889">
        <v>6000</v>
      </c>
      <c r="F889">
        <v>-1000</v>
      </c>
      <c r="G889">
        <v>-12000</v>
      </c>
      <c r="H889">
        <v>-12000</v>
      </c>
      <c r="I889">
        <v>-12000</v>
      </c>
    </row>
    <row r="890" spans="1:9" x14ac:dyDescent="0.3">
      <c r="A890" s="48" t="s">
        <v>58</v>
      </c>
      <c r="C890">
        <v>5000</v>
      </c>
      <c r="D890">
        <v>-13000</v>
      </c>
      <c r="E890">
        <v>5000</v>
      </c>
      <c r="F890">
        <v>-2000</v>
      </c>
      <c r="G890">
        <v>-13000</v>
      </c>
      <c r="H890">
        <v>-13000</v>
      </c>
      <c r="I890">
        <v>-13000</v>
      </c>
    </row>
    <row r="891" spans="1:9" x14ac:dyDescent="0.3">
      <c r="A891" s="15" t="s">
        <v>45</v>
      </c>
    </row>
    <row r="892" spans="1:9" x14ac:dyDescent="0.3">
      <c r="A892" s="48" t="s">
        <v>35</v>
      </c>
      <c r="C892">
        <v>-5000</v>
      </c>
      <c r="D892">
        <v>-2000</v>
      </c>
      <c r="E892">
        <v>13000</v>
      </c>
      <c r="F892">
        <v>6000</v>
      </c>
      <c r="G892">
        <v>-5000</v>
      </c>
      <c r="H892">
        <v>-5000</v>
      </c>
      <c r="I892">
        <v>-5000</v>
      </c>
    </row>
    <row r="893" spans="1:9" x14ac:dyDescent="0.3">
      <c r="A893" s="48" t="s">
        <v>41</v>
      </c>
      <c r="C893">
        <v>-4000</v>
      </c>
      <c r="D893">
        <v>-3000</v>
      </c>
      <c r="E893">
        <v>12000</v>
      </c>
      <c r="F893">
        <v>5000</v>
      </c>
      <c r="G893">
        <v>-6000</v>
      </c>
      <c r="H893">
        <v>-6000</v>
      </c>
      <c r="I893">
        <v>-6000</v>
      </c>
    </row>
    <row r="894" spans="1:9" x14ac:dyDescent="0.3">
      <c r="A894" s="48" t="s">
        <v>42</v>
      </c>
      <c r="C894">
        <v>-3000</v>
      </c>
      <c r="D894">
        <v>-4000</v>
      </c>
      <c r="E894">
        <v>11000</v>
      </c>
      <c r="F894">
        <v>4000</v>
      </c>
      <c r="G894">
        <v>-7000</v>
      </c>
      <c r="H894">
        <v>-7000</v>
      </c>
      <c r="I894">
        <v>-7000</v>
      </c>
    </row>
    <row r="895" spans="1:9" x14ac:dyDescent="0.3">
      <c r="A895" s="48" t="s">
        <v>43</v>
      </c>
      <c r="C895">
        <v>-2000</v>
      </c>
      <c r="D895">
        <v>-5000</v>
      </c>
      <c r="E895">
        <v>10000</v>
      </c>
      <c r="F895">
        <v>3000</v>
      </c>
      <c r="G895">
        <v>-8000</v>
      </c>
      <c r="H895">
        <v>-8000</v>
      </c>
      <c r="I895">
        <v>-8000</v>
      </c>
    </row>
    <row r="896" spans="1:9" x14ac:dyDescent="0.3">
      <c r="A896" s="48" t="s">
        <v>44</v>
      </c>
      <c r="C896">
        <v>-1000</v>
      </c>
      <c r="D896">
        <v>-6000</v>
      </c>
      <c r="E896">
        <v>9000</v>
      </c>
      <c r="F896">
        <v>2000</v>
      </c>
      <c r="G896">
        <v>-9000</v>
      </c>
      <c r="H896">
        <v>-9000</v>
      </c>
      <c r="I896">
        <v>-9000</v>
      </c>
    </row>
    <row r="897" spans="1:9" x14ac:dyDescent="0.3">
      <c r="A897" s="48" t="s">
        <v>54</v>
      </c>
      <c r="C897">
        <v>0</v>
      </c>
      <c r="D897">
        <v>-7000</v>
      </c>
      <c r="E897">
        <v>8000</v>
      </c>
      <c r="F897">
        <v>1000</v>
      </c>
      <c r="G897">
        <v>-10000</v>
      </c>
      <c r="H897">
        <v>-10000</v>
      </c>
      <c r="I897">
        <v>-10000</v>
      </c>
    </row>
    <row r="898" spans="1:9" x14ac:dyDescent="0.3">
      <c r="A898" s="48" t="s">
        <v>55</v>
      </c>
      <c r="C898">
        <v>1000</v>
      </c>
      <c r="D898">
        <v>-8000</v>
      </c>
      <c r="E898">
        <v>7000</v>
      </c>
      <c r="F898">
        <v>0</v>
      </c>
      <c r="G898">
        <v>-11000</v>
      </c>
      <c r="H898">
        <v>-11000</v>
      </c>
      <c r="I898">
        <v>-11000</v>
      </c>
    </row>
    <row r="899" spans="1:9" x14ac:dyDescent="0.3">
      <c r="A899" s="48" t="s">
        <v>56</v>
      </c>
      <c r="C899">
        <v>2000</v>
      </c>
      <c r="D899">
        <v>-9000</v>
      </c>
      <c r="E899">
        <v>6000</v>
      </c>
      <c r="F899">
        <v>-1000</v>
      </c>
      <c r="G899">
        <v>-12000</v>
      </c>
      <c r="H899">
        <v>-12000</v>
      </c>
      <c r="I899">
        <v>-12000</v>
      </c>
    </row>
    <row r="900" spans="1:9" x14ac:dyDescent="0.3">
      <c r="A900" s="48" t="s">
        <v>57</v>
      </c>
      <c r="C900">
        <v>3000</v>
      </c>
      <c r="D900">
        <v>-10000</v>
      </c>
      <c r="E900">
        <v>5000</v>
      </c>
      <c r="F900">
        <v>-2000</v>
      </c>
      <c r="G900">
        <v>-13000</v>
      </c>
      <c r="H900">
        <v>-13000</v>
      </c>
      <c r="I900">
        <v>-13000</v>
      </c>
    </row>
    <row r="901" spans="1:9" x14ac:dyDescent="0.3">
      <c r="A901" s="48" t="s">
        <v>58</v>
      </c>
      <c r="C901">
        <v>4000</v>
      </c>
      <c r="D901">
        <v>-11000</v>
      </c>
      <c r="E901">
        <v>4000</v>
      </c>
      <c r="F901">
        <v>-3000</v>
      </c>
      <c r="G901">
        <v>-14000</v>
      </c>
      <c r="H901">
        <v>-14000</v>
      </c>
      <c r="I901">
        <v>-14000</v>
      </c>
    </row>
    <row r="902" spans="1:9" x14ac:dyDescent="0.3">
      <c r="A902" s="15" t="s">
        <v>46</v>
      </c>
    </row>
    <row r="903" spans="1:9" x14ac:dyDescent="0.3">
      <c r="A903" s="48" t="s">
        <v>35</v>
      </c>
      <c r="C903">
        <v>-6000</v>
      </c>
      <c r="D903">
        <v>0</v>
      </c>
      <c r="E903">
        <v>12000</v>
      </c>
      <c r="F903">
        <v>5000</v>
      </c>
      <c r="G903">
        <v>-6000</v>
      </c>
      <c r="H903">
        <v>-6000</v>
      </c>
      <c r="I903">
        <v>-6000</v>
      </c>
    </row>
    <row r="904" spans="1:9" x14ac:dyDescent="0.3">
      <c r="A904" s="48" t="s">
        <v>41</v>
      </c>
      <c r="C904">
        <v>-5000</v>
      </c>
      <c r="D904">
        <v>-1000</v>
      </c>
      <c r="E904">
        <v>11000</v>
      </c>
      <c r="F904">
        <v>4000</v>
      </c>
      <c r="G904">
        <v>-7000</v>
      </c>
      <c r="H904">
        <v>-7000</v>
      </c>
      <c r="I904">
        <v>-7000</v>
      </c>
    </row>
    <row r="905" spans="1:9" x14ac:dyDescent="0.3">
      <c r="A905" s="48" t="s">
        <v>42</v>
      </c>
      <c r="C905">
        <v>-4000</v>
      </c>
      <c r="D905">
        <v>-2000</v>
      </c>
      <c r="E905">
        <v>10000</v>
      </c>
      <c r="F905">
        <v>3000</v>
      </c>
      <c r="G905">
        <v>-8000</v>
      </c>
      <c r="H905">
        <v>-8000</v>
      </c>
      <c r="I905">
        <v>-8000</v>
      </c>
    </row>
    <row r="906" spans="1:9" x14ac:dyDescent="0.3">
      <c r="A906" s="48" t="s">
        <v>43</v>
      </c>
      <c r="C906">
        <v>-3000</v>
      </c>
      <c r="D906">
        <v>-3000</v>
      </c>
      <c r="E906">
        <v>9000</v>
      </c>
      <c r="F906">
        <v>2000</v>
      </c>
      <c r="G906">
        <v>-9000</v>
      </c>
      <c r="H906">
        <v>-9000</v>
      </c>
      <c r="I906">
        <v>-9000</v>
      </c>
    </row>
    <row r="907" spans="1:9" x14ac:dyDescent="0.3">
      <c r="A907" s="48" t="s">
        <v>44</v>
      </c>
      <c r="C907">
        <v>-2000</v>
      </c>
      <c r="D907">
        <v>-4000</v>
      </c>
      <c r="E907">
        <v>8000</v>
      </c>
      <c r="F907">
        <v>1000</v>
      </c>
      <c r="G907">
        <v>-10000</v>
      </c>
      <c r="H907">
        <v>-10000</v>
      </c>
      <c r="I907">
        <v>-10000</v>
      </c>
    </row>
    <row r="908" spans="1:9" x14ac:dyDescent="0.3">
      <c r="A908" s="48" t="s">
        <v>54</v>
      </c>
      <c r="C908">
        <v>-1000</v>
      </c>
      <c r="D908">
        <v>-5000</v>
      </c>
      <c r="E908">
        <v>7000</v>
      </c>
      <c r="F908">
        <v>0</v>
      </c>
      <c r="G908">
        <v>-11000</v>
      </c>
      <c r="H908">
        <v>-11000</v>
      </c>
      <c r="I908">
        <v>-11000</v>
      </c>
    </row>
    <row r="909" spans="1:9" x14ac:dyDescent="0.3">
      <c r="A909" s="48" t="s">
        <v>55</v>
      </c>
      <c r="C909">
        <v>0</v>
      </c>
      <c r="D909">
        <v>-6000</v>
      </c>
      <c r="E909">
        <v>6000</v>
      </c>
      <c r="F909">
        <v>-1000</v>
      </c>
      <c r="G909">
        <v>-12000</v>
      </c>
      <c r="H909">
        <v>-12000</v>
      </c>
      <c r="I909">
        <v>-12000</v>
      </c>
    </row>
    <row r="910" spans="1:9" x14ac:dyDescent="0.3">
      <c r="A910" s="48" t="s">
        <v>56</v>
      </c>
      <c r="C910">
        <v>1000</v>
      </c>
      <c r="D910">
        <v>-7000</v>
      </c>
      <c r="E910">
        <v>5000</v>
      </c>
      <c r="F910">
        <v>-2000</v>
      </c>
      <c r="G910">
        <v>-13000</v>
      </c>
      <c r="H910">
        <v>-13000</v>
      </c>
      <c r="I910">
        <v>-13000</v>
      </c>
    </row>
    <row r="911" spans="1:9" x14ac:dyDescent="0.3">
      <c r="A911" s="48" t="s">
        <v>57</v>
      </c>
      <c r="C911">
        <v>2000</v>
      </c>
      <c r="D911">
        <v>-8000</v>
      </c>
      <c r="E911">
        <v>4000</v>
      </c>
      <c r="F911">
        <v>-3000</v>
      </c>
      <c r="G911">
        <v>-14000</v>
      </c>
      <c r="H911">
        <v>-14000</v>
      </c>
      <c r="I911">
        <v>-14000</v>
      </c>
    </row>
    <row r="912" spans="1:9" x14ac:dyDescent="0.3">
      <c r="A912" s="48" t="s">
        <v>58</v>
      </c>
      <c r="C912">
        <v>3000</v>
      </c>
      <c r="D912">
        <v>-9000</v>
      </c>
      <c r="E912">
        <v>3000</v>
      </c>
      <c r="F912">
        <v>-4000</v>
      </c>
      <c r="G912">
        <v>-15000</v>
      </c>
      <c r="H912">
        <v>-15000</v>
      </c>
      <c r="I912">
        <v>-15000</v>
      </c>
    </row>
    <row r="913" spans="1:9" x14ac:dyDescent="0.3">
      <c r="A913" s="15" t="s">
        <v>47</v>
      </c>
    </row>
    <row r="914" spans="1:9" x14ac:dyDescent="0.3">
      <c r="A914" s="48" t="s">
        <v>35</v>
      </c>
      <c r="C914">
        <v>-7000</v>
      </c>
      <c r="D914">
        <v>2000</v>
      </c>
      <c r="E914">
        <v>11000</v>
      </c>
      <c r="F914">
        <v>4000</v>
      </c>
      <c r="G914">
        <v>-7000</v>
      </c>
      <c r="H914">
        <v>-7000</v>
      </c>
      <c r="I914">
        <v>-7000</v>
      </c>
    </row>
    <row r="915" spans="1:9" x14ac:dyDescent="0.3">
      <c r="A915" s="48" t="s">
        <v>41</v>
      </c>
      <c r="C915">
        <v>-6000</v>
      </c>
      <c r="D915">
        <v>1000</v>
      </c>
      <c r="E915">
        <v>10000</v>
      </c>
      <c r="F915">
        <v>3000</v>
      </c>
      <c r="G915">
        <v>-8000</v>
      </c>
      <c r="H915">
        <v>-8000</v>
      </c>
      <c r="I915">
        <v>-8000</v>
      </c>
    </row>
    <row r="916" spans="1:9" x14ac:dyDescent="0.3">
      <c r="A916" s="48" t="s">
        <v>42</v>
      </c>
      <c r="C916">
        <v>-5000</v>
      </c>
      <c r="D916">
        <v>0</v>
      </c>
      <c r="E916">
        <v>9000</v>
      </c>
      <c r="F916">
        <v>2000</v>
      </c>
      <c r="G916">
        <v>-9000</v>
      </c>
      <c r="H916">
        <v>-9000</v>
      </c>
      <c r="I916">
        <v>-9000</v>
      </c>
    </row>
    <row r="917" spans="1:9" x14ac:dyDescent="0.3">
      <c r="A917" s="48" t="s">
        <v>43</v>
      </c>
      <c r="C917">
        <v>-4000</v>
      </c>
      <c r="D917">
        <v>-1000</v>
      </c>
      <c r="E917">
        <v>8000</v>
      </c>
      <c r="F917">
        <v>1000</v>
      </c>
      <c r="G917">
        <v>-10000</v>
      </c>
      <c r="H917">
        <v>-10000</v>
      </c>
      <c r="I917">
        <v>-10000</v>
      </c>
    </row>
    <row r="918" spans="1:9" x14ac:dyDescent="0.3">
      <c r="A918" s="48" t="s">
        <v>44</v>
      </c>
      <c r="C918">
        <v>-3000</v>
      </c>
      <c r="D918">
        <v>-2000</v>
      </c>
      <c r="E918">
        <v>7000</v>
      </c>
      <c r="F918">
        <v>0</v>
      </c>
      <c r="G918">
        <v>-11000</v>
      </c>
      <c r="H918">
        <v>-11000</v>
      </c>
      <c r="I918">
        <v>-11000</v>
      </c>
    </row>
    <row r="919" spans="1:9" x14ac:dyDescent="0.3">
      <c r="A919" s="48" t="s">
        <v>54</v>
      </c>
      <c r="C919">
        <v>-2000</v>
      </c>
      <c r="D919">
        <v>-3000</v>
      </c>
      <c r="E919">
        <v>6000</v>
      </c>
      <c r="F919">
        <v>-1000</v>
      </c>
      <c r="G919">
        <v>-12000</v>
      </c>
      <c r="H919">
        <v>-12000</v>
      </c>
      <c r="I919">
        <v>-12000</v>
      </c>
    </row>
    <row r="920" spans="1:9" x14ac:dyDescent="0.3">
      <c r="A920" s="48" t="s">
        <v>55</v>
      </c>
      <c r="C920">
        <v>-1000</v>
      </c>
      <c r="D920">
        <v>-4000</v>
      </c>
      <c r="E920">
        <v>5000</v>
      </c>
      <c r="F920">
        <v>-2000</v>
      </c>
      <c r="G920">
        <v>-13000</v>
      </c>
      <c r="H920">
        <v>-13000</v>
      </c>
      <c r="I920">
        <v>-13000</v>
      </c>
    </row>
    <row r="921" spans="1:9" x14ac:dyDescent="0.3">
      <c r="A921" s="48" t="s">
        <v>56</v>
      </c>
      <c r="C921">
        <v>0</v>
      </c>
      <c r="D921">
        <v>-5000</v>
      </c>
      <c r="E921">
        <v>4000</v>
      </c>
      <c r="F921">
        <v>-3000</v>
      </c>
      <c r="G921">
        <v>-14000</v>
      </c>
      <c r="H921">
        <v>-14000</v>
      </c>
      <c r="I921">
        <v>-14000</v>
      </c>
    </row>
    <row r="922" spans="1:9" x14ac:dyDescent="0.3">
      <c r="A922" s="48" t="s">
        <v>57</v>
      </c>
      <c r="C922">
        <v>1000</v>
      </c>
      <c r="D922">
        <v>-6000</v>
      </c>
      <c r="E922">
        <v>3000</v>
      </c>
      <c r="F922">
        <v>-4000</v>
      </c>
      <c r="G922">
        <v>-15000</v>
      </c>
      <c r="H922">
        <v>-15000</v>
      </c>
      <c r="I922">
        <v>-15000</v>
      </c>
    </row>
    <row r="923" spans="1:9" x14ac:dyDescent="0.3">
      <c r="A923" s="48" t="s">
        <v>58</v>
      </c>
      <c r="C923">
        <v>2000</v>
      </c>
      <c r="D923">
        <v>-7000</v>
      </c>
      <c r="E923">
        <v>2000</v>
      </c>
      <c r="F923">
        <v>-5000</v>
      </c>
      <c r="G923">
        <v>-16000</v>
      </c>
      <c r="H923">
        <v>-16000</v>
      </c>
      <c r="I923">
        <v>-16000</v>
      </c>
    </row>
    <row r="924" spans="1:9" x14ac:dyDescent="0.3">
      <c r="A924" s="15" t="s">
        <v>48</v>
      </c>
    </row>
    <row r="925" spans="1:9" x14ac:dyDescent="0.3">
      <c r="A925" s="48" t="s">
        <v>35</v>
      </c>
      <c r="C925">
        <v>-8000</v>
      </c>
      <c r="D925">
        <v>4000</v>
      </c>
      <c r="E925">
        <v>10000</v>
      </c>
      <c r="F925">
        <v>3000</v>
      </c>
      <c r="G925">
        <v>-8000</v>
      </c>
      <c r="H925">
        <v>-8000</v>
      </c>
      <c r="I925">
        <v>-8000</v>
      </c>
    </row>
    <row r="926" spans="1:9" x14ac:dyDescent="0.3">
      <c r="A926" s="48" t="s">
        <v>41</v>
      </c>
      <c r="C926">
        <v>-7000</v>
      </c>
      <c r="D926">
        <v>3000</v>
      </c>
      <c r="E926">
        <v>9000</v>
      </c>
      <c r="F926">
        <v>2000</v>
      </c>
      <c r="G926">
        <v>-9000</v>
      </c>
      <c r="H926">
        <v>-9000</v>
      </c>
      <c r="I926">
        <v>-9000</v>
      </c>
    </row>
    <row r="927" spans="1:9" x14ac:dyDescent="0.3">
      <c r="A927" s="48" t="s">
        <v>42</v>
      </c>
      <c r="C927">
        <v>-6000</v>
      </c>
      <c r="D927">
        <v>2000</v>
      </c>
      <c r="E927">
        <v>8000</v>
      </c>
      <c r="F927">
        <v>1000</v>
      </c>
      <c r="G927">
        <v>-10000</v>
      </c>
      <c r="H927">
        <v>-10000</v>
      </c>
      <c r="I927">
        <v>-10000</v>
      </c>
    </row>
    <row r="928" spans="1:9" x14ac:dyDescent="0.3">
      <c r="A928" s="48" t="s">
        <v>43</v>
      </c>
      <c r="C928">
        <v>-5000</v>
      </c>
      <c r="D928">
        <v>1000</v>
      </c>
      <c r="E928">
        <v>7000</v>
      </c>
      <c r="F928">
        <v>0</v>
      </c>
      <c r="G928">
        <v>-11000</v>
      </c>
      <c r="H928">
        <v>-11000</v>
      </c>
      <c r="I928">
        <v>-11000</v>
      </c>
    </row>
    <row r="929" spans="1:9" x14ac:dyDescent="0.3">
      <c r="A929" s="48" t="s">
        <v>44</v>
      </c>
      <c r="C929">
        <v>-4000</v>
      </c>
      <c r="D929">
        <v>0</v>
      </c>
      <c r="E929">
        <v>6000</v>
      </c>
      <c r="F929">
        <v>-1000</v>
      </c>
      <c r="G929">
        <v>-12000</v>
      </c>
      <c r="H929">
        <v>-12000</v>
      </c>
      <c r="I929">
        <v>-12000</v>
      </c>
    </row>
    <row r="930" spans="1:9" x14ac:dyDescent="0.3">
      <c r="A930" s="48" t="s">
        <v>54</v>
      </c>
      <c r="C930">
        <v>-3000</v>
      </c>
      <c r="D930">
        <v>-1000</v>
      </c>
      <c r="E930">
        <v>5000</v>
      </c>
      <c r="F930">
        <v>-2000</v>
      </c>
      <c r="G930">
        <v>-13000</v>
      </c>
      <c r="H930">
        <v>-13000</v>
      </c>
      <c r="I930">
        <v>-13000</v>
      </c>
    </row>
    <row r="931" spans="1:9" x14ac:dyDescent="0.3">
      <c r="A931" s="48" t="s">
        <v>55</v>
      </c>
      <c r="C931">
        <v>-2000</v>
      </c>
      <c r="D931">
        <v>-2000</v>
      </c>
      <c r="E931">
        <v>4000</v>
      </c>
      <c r="F931">
        <v>-3000</v>
      </c>
      <c r="G931">
        <v>-14000</v>
      </c>
      <c r="H931">
        <v>-14000</v>
      </c>
      <c r="I931">
        <v>-14000</v>
      </c>
    </row>
    <row r="932" spans="1:9" x14ac:dyDescent="0.3">
      <c r="A932" s="48" t="s">
        <v>56</v>
      </c>
      <c r="C932">
        <v>-1000</v>
      </c>
      <c r="D932">
        <v>-3000</v>
      </c>
      <c r="E932">
        <v>3000</v>
      </c>
      <c r="F932">
        <v>-4000</v>
      </c>
      <c r="G932">
        <v>-15000</v>
      </c>
      <c r="H932">
        <v>-15000</v>
      </c>
      <c r="I932">
        <v>-15000</v>
      </c>
    </row>
    <row r="933" spans="1:9" x14ac:dyDescent="0.3">
      <c r="A933" s="48" t="s">
        <v>57</v>
      </c>
      <c r="C933">
        <v>0</v>
      </c>
      <c r="D933">
        <v>-4000</v>
      </c>
      <c r="E933">
        <v>2000</v>
      </c>
      <c r="F933">
        <v>-5000</v>
      </c>
      <c r="G933">
        <v>-16000</v>
      </c>
      <c r="H933">
        <v>-16000</v>
      </c>
      <c r="I933">
        <v>-16000</v>
      </c>
    </row>
    <row r="934" spans="1:9" x14ac:dyDescent="0.3">
      <c r="A934" s="48" t="s">
        <v>58</v>
      </c>
      <c r="C934">
        <v>1000</v>
      </c>
      <c r="D934">
        <v>-5000</v>
      </c>
      <c r="E934">
        <v>1000</v>
      </c>
      <c r="F934">
        <v>-6000</v>
      </c>
      <c r="G934">
        <v>-17000</v>
      </c>
      <c r="H934">
        <v>-17000</v>
      </c>
      <c r="I934">
        <v>-17000</v>
      </c>
    </row>
    <row r="935" spans="1:9" x14ac:dyDescent="0.3">
      <c r="A935" s="15" t="s">
        <v>59</v>
      </c>
    </row>
    <row r="936" spans="1:9" x14ac:dyDescent="0.3">
      <c r="A936" s="48" t="s">
        <v>35</v>
      </c>
      <c r="C936">
        <v>-9000</v>
      </c>
      <c r="D936">
        <v>6000</v>
      </c>
      <c r="E936">
        <v>9000</v>
      </c>
      <c r="F936">
        <v>2000</v>
      </c>
      <c r="G936">
        <v>-9000</v>
      </c>
      <c r="H936">
        <v>-9000</v>
      </c>
      <c r="I936">
        <v>-9000</v>
      </c>
    </row>
    <row r="937" spans="1:9" x14ac:dyDescent="0.3">
      <c r="A937" s="48" t="s">
        <v>41</v>
      </c>
      <c r="C937">
        <v>-8000</v>
      </c>
      <c r="D937">
        <v>5000</v>
      </c>
      <c r="E937">
        <v>8000</v>
      </c>
      <c r="F937">
        <v>1000</v>
      </c>
      <c r="G937">
        <v>-10000</v>
      </c>
      <c r="H937">
        <v>-10000</v>
      </c>
      <c r="I937">
        <v>-10000</v>
      </c>
    </row>
    <row r="938" spans="1:9" x14ac:dyDescent="0.3">
      <c r="A938" s="48" t="s">
        <v>42</v>
      </c>
      <c r="C938">
        <v>-7000</v>
      </c>
      <c r="D938">
        <v>4000</v>
      </c>
      <c r="E938">
        <v>7000</v>
      </c>
      <c r="F938">
        <v>0</v>
      </c>
      <c r="G938">
        <v>-11000</v>
      </c>
      <c r="H938">
        <v>-11000</v>
      </c>
      <c r="I938">
        <v>-11000</v>
      </c>
    </row>
    <row r="939" spans="1:9" x14ac:dyDescent="0.3">
      <c r="A939" s="48" t="s">
        <v>43</v>
      </c>
      <c r="C939">
        <v>-6000</v>
      </c>
      <c r="D939">
        <v>3000</v>
      </c>
      <c r="E939">
        <v>6000</v>
      </c>
      <c r="F939">
        <v>-1000</v>
      </c>
      <c r="G939">
        <v>-12000</v>
      </c>
      <c r="H939">
        <v>-12000</v>
      </c>
      <c r="I939">
        <v>-12000</v>
      </c>
    </row>
    <row r="940" spans="1:9" x14ac:dyDescent="0.3">
      <c r="A940" s="48" t="s">
        <v>44</v>
      </c>
      <c r="C940">
        <v>-5000</v>
      </c>
      <c r="D940">
        <v>2000</v>
      </c>
      <c r="E940">
        <v>5000</v>
      </c>
      <c r="F940">
        <v>-2000</v>
      </c>
      <c r="G940">
        <v>-13000</v>
      </c>
      <c r="H940">
        <v>-13000</v>
      </c>
      <c r="I940">
        <v>-13000</v>
      </c>
    </row>
    <row r="941" spans="1:9" x14ac:dyDescent="0.3">
      <c r="A941" s="48" t="s">
        <v>54</v>
      </c>
      <c r="C941">
        <v>-4000</v>
      </c>
      <c r="D941">
        <v>1000</v>
      </c>
      <c r="E941">
        <v>4000</v>
      </c>
      <c r="F941">
        <v>-3000</v>
      </c>
      <c r="G941">
        <v>-14000</v>
      </c>
      <c r="H941">
        <v>-14000</v>
      </c>
      <c r="I941">
        <v>-14000</v>
      </c>
    </row>
    <row r="942" spans="1:9" x14ac:dyDescent="0.3">
      <c r="A942" s="48" t="s">
        <v>55</v>
      </c>
      <c r="C942">
        <v>-3000</v>
      </c>
      <c r="D942">
        <v>0</v>
      </c>
      <c r="E942">
        <v>3000</v>
      </c>
      <c r="F942">
        <v>-4000</v>
      </c>
      <c r="G942">
        <v>-15000</v>
      </c>
      <c r="H942">
        <v>-15000</v>
      </c>
      <c r="I942">
        <v>-15000</v>
      </c>
    </row>
    <row r="943" spans="1:9" x14ac:dyDescent="0.3">
      <c r="A943" s="48" t="s">
        <v>56</v>
      </c>
      <c r="C943">
        <v>-2000</v>
      </c>
      <c r="D943">
        <v>-1000</v>
      </c>
      <c r="E943">
        <v>2000</v>
      </c>
      <c r="F943">
        <v>-5000</v>
      </c>
      <c r="G943">
        <v>-16000</v>
      </c>
      <c r="H943">
        <v>-16000</v>
      </c>
      <c r="I943">
        <v>-16000</v>
      </c>
    </row>
    <row r="944" spans="1:9" x14ac:dyDescent="0.3">
      <c r="A944" s="48" t="s">
        <v>57</v>
      </c>
      <c r="C944">
        <v>-1000</v>
      </c>
      <c r="D944">
        <v>-2000</v>
      </c>
      <c r="E944">
        <v>1000</v>
      </c>
      <c r="F944">
        <v>-6000</v>
      </c>
      <c r="G944">
        <v>-17000</v>
      </c>
      <c r="H944">
        <v>-17000</v>
      </c>
      <c r="I944">
        <v>-17000</v>
      </c>
    </row>
    <row r="945" spans="1:9" x14ac:dyDescent="0.3">
      <c r="A945" s="48" t="s">
        <v>58</v>
      </c>
      <c r="C945">
        <v>0</v>
      </c>
      <c r="D945">
        <v>-3000</v>
      </c>
      <c r="E945">
        <v>0</v>
      </c>
      <c r="F945">
        <v>-7000</v>
      </c>
      <c r="G945">
        <v>-18000</v>
      </c>
      <c r="H945">
        <v>-18000</v>
      </c>
      <c r="I945">
        <v>-18000</v>
      </c>
    </row>
    <row r="946" spans="1:9" x14ac:dyDescent="0.3">
      <c r="A946" s="15" t="s">
        <v>60</v>
      </c>
    </row>
    <row r="947" spans="1:9" x14ac:dyDescent="0.3">
      <c r="A947" s="48" t="s">
        <v>35</v>
      </c>
      <c r="C947">
        <v>-10000</v>
      </c>
      <c r="D947">
        <v>8000</v>
      </c>
      <c r="E947">
        <v>8000</v>
      </c>
      <c r="F947">
        <v>1000</v>
      </c>
      <c r="G947">
        <v>-10000</v>
      </c>
      <c r="H947">
        <v>-10000</v>
      </c>
      <c r="I947">
        <v>-10000</v>
      </c>
    </row>
    <row r="948" spans="1:9" x14ac:dyDescent="0.3">
      <c r="A948" s="48" t="s">
        <v>41</v>
      </c>
      <c r="C948">
        <v>-9000</v>
      </c>
      <c r="D948">
        <v>7000</v>
      </c>
      <c r="E948">
        <v>7000</v>
      </c>
      <c r="F948">
        <v>0</v>
      </c>
      <c r="G948">
        <v>-11000</v>
      </c>
      <c r="H948">
        <v>-11000</v>
      </c>
      <c r="I948">
        <v>-11000</v>
      </c>
    </row>
    <row r="949" spans="1:9" x14ac:dyDescent="0.3">
      <c r="A949" s="48" t="s">
        <v>42</v>
      </c>
      <c r="C949">
        <v>-8000</v>
      </c>
      <c r="D949">
        <v>6000</v>
      </c>
      <c r="E949">
        <v>6000</v>
      </c>
      <c r="F949">
        <v>-1000</v>
      </c>
      <c r="G949">
        <v>-12000</v>
      </c>
      <c r="H949">
        <v>-12000</v>
      </c>
      <c r="I949">
        <v>-12000</v>
      </c>
    </row>
    <row r="950" spans="1:9" x14ac:dyDescent="0.3">
      <c r="A950" s="48" t="s">
        <v>43</v>
      </c>
      <c r="C950">
        <v>-7000</v>
      </c>
      <c r="D950">
        <v>5000</v>
      </c>
      <c r="E950">
        <v>5000</v>
      </c>
      <c r="F950">
        <v>-2000</v>
      </c>
      <c r="G950">
        <v>-13000</v>
      </c>
      <c r="H950">
        <v>-13000</v>
      </c>
      <c r="I950">
        <v>-13000</v>
      </c>
    </row>
    <row r="951" spans="1:9" x14ac:dyDescent="0.3">
      <c r="A951" s="48" t="s">
        <v>44</v>
      </c>
      <c r="C951">
        <v>-6000</v>
      </c>
      <c r="D951">
        <v>4000</v>
      </c>
      <c r="E951">
        <v>4000</v>
      </c>
      <c r="F951">
        <v>-3000</v>
      </c>
      <c r="G951">
        <v>-14000</v>
      </c>
      <c r="H951">
        <v>-14000</v>
      </c>
      <c r="I951">
        <v>-14000</v>
      </c>
    </row>
    <row r="952" spans="1:9" x14ac:dyDescent="0.3">
      <c r="A952" s="48" t="s">
        <v>54</v>
      </c>
      <c r="C952">
        <v>-5000</v>
      </c>
      <c r="D952">
        <v>3000</v>
      </c>
      <c r="E952">
        <v>3000</v>
      </c>
      <c r="F952">
        <v>-4000</v>
      </c>
      <c r="G952">
        <v>-15000</v>
      </c>
      <c r="H952">
        <v>-15000</v>
      </c>
      <c r="I952">
        <v>-15000</v>
      </c>
    </row>
    <row r="953" spans="1:9" x14ac:dyDescent="0.3">
      <c r="A953" s="48" t="s">
        <v>55</v>
      </c>
      <c r="C953">
        <v>-4000</v>
      </c>
      <c r="D953">
        <v>2000</v>
      </c>
      <c r="E953">
        <v>2000</v>
      </c>
      <c r="F953">
        <v>-5000</v>
      </c>
      <c r="G953">
        <v>-16000</v>
      </c>
      <c r="H953">
        <v>-16000</v>
      </c>
      <c r="I953">
        <v>-16000</v>
      </c>
    </row>
    <row r="954" spans="1:9" x14ac:dyDescent="0.3">
      <c r="A954" s="48" t="s">
        <v>56</v>
      </c>
      <c r="C954">
        <v>-3000</v>
      </c>
      <c r="D954">
        <v>1000</v>
      </c>
      <c r="E954">
        <v>1000</v>
      </c>
      <c r="F954">
        <v>-6000</v>
      </c>
      <c r="G954">
        <v>-17000</v>
      </c>
      <c r="H954">
        <v>-17000</v>
      </c>
      <c r="I954">
        <v>-17000</v>
      </c>
    </row>
    <row r="955" spans="1:9" x14ac:dyDescent="0.3">
      <c r="A955" s="48" t="s">
        <v>57</v>
      </c>
      <c r="C955">
        <v>-2000</v>
      </c>
      <c r="D955">
        <v>0</v>
      </c>
      <c r="E955">
        <v>0</v>
      </c>
      <c r="F955">
        <v>-7000</v>
      </c>
      <c r="G955">
        <v>-18000</v>
      </c>
      <c r="H955">
        <v>-18000</v>
      </c>
      <c r="I955">
        <v>-18000</v>
      </c>
    </row>
    <row r="956" spans="1:9" x14ac:dyDescent="0.3">
      <c r="A956" s="48" t="s">
        <v>58</v>
      </c>
      <c r="C956">
        <v>-1000</v>
      </c>
      <c r="D956">
        <v>-1000</v>
      </c>
      <c r="E956">
        <v>-1000</v>
      </c>
      <c r="F956">
        <v>-8000</v>
      </c>
      <c r="G956">
        <v>-19000</v>
      </c>
      <c r="H956">
        <v>-19000</v>
      </c>
      <c r="I956">
        <v>-19000</v>
      </c>
    </row>
    <row r="957" spans="1:9" x14ac:dyDescent="0.3">
      <c r="A957" s="15" t="s">
        <v>61</v>
      </c>
    </row>
    <row r="958" spans="1:9" x14ac:dyDescent="0.3">
      <c r="A958" s="48" t="s">
        <v>35</v>
      </c>
      <c r="C958">
        <v>-11000</v>
      </c>
      <c r="D958">
        <v>10000</v>
      </c>
      <c r="E958">
        <v>7000</v>
      </c>
      <c r="F958">
        <v>0</v>
      </c>
      <c r="G958">
        <v>-11000</v>
      </c>
      <c r="H958">
        <v>-11000</v>
      </c>
      <c r="I958">
        <v>-11000</v>
      </c>
    </row>
    <row r="959" spans="1:9" x14ac:dyDescent="0.3">
      <c r="A959" s="48" t="s">
        <v>41</v>
      </c>
      <c r="C959">
        <v>-10000</v>
      </c>
      <c r="D959">
        <v>9000</v>
      </c>
      <c r="E959">
        <v>6000</v>
      </c>
      <c r="F959">
        <v>-1000</v>
      </c>
      <c r="G959">
        <v>-12000</v>
      </c>
      <c r="H959">
        <v>-12000</v>
      </c>
      <c r="I959">
        <v>-12000</v>
      </c>
    </row>
    <row r="960" spans="1:9" x14ac:dyDescent="0.3">
      <c r="A960" s="48" t="s">
        <v>42</v>
      </c>
      <c r="C960">
        <v>-9000</v>
      </c>
      <c r="D960">
        <v>8000</v>
      </c>
      <c r="E960">
        <v>5000</v>
      </c>
      <c r="F960">
        <v>-2000</v>
      </c>
      <c r="G960">
        <v>-13000</v>
      </c>
      <c r="H960">
        <v>-13000</v>
      </c>
      <c r="I960">
        <v>-13000</v>
      </c>
    </row>
    <row r="961" spans="1:9" x14ac:dyDescent="0.3">
      <c r="A961" s="48" t="s">
        <v>43</v>
      </c>
      <c r="C961">
        <v>-8000</v>
      </c>
      <c r="D961">
        <v>7000</v>
      </c>
      <c r="E961">
        <v>4000</v>
      </c>
      <c r="F961">
        <v>-3000</v>
      </c>
      <c r="G961">
        <v>-14000</v>
      </c>
      <c r="H961">
        <v>-14000</v>
      </c>
      <c r="I961">
        <v>-14000</v>
      </c>
    </row>
    <row r="962" spans="1:9" x14ac:dyDescent="0.3">
      <c r="A962" s="48" t="s">
        <v>44</v>
      </c>
      <c r="C962">
        <v>-7000</v>
      </c>
      <c r="D962">
        <v>6000</v>
      </c>
      <c r="E962">
        <v>3000</v>
      </c>
      <c r="F962">
        <v>-4000</v>
      </c>
      <c r="G962">
        <v>-15000</v>
      </c>
      <c r="H962">
        <v>-15000</v>
      </c>
      <c r="I962">
        <v>-15000</v>
      </c>
    </row>
    <row r="963" spans="1:9" x14ac:dyDescent="0.3">
      <c r="A963" s="48" t="s">
        <v>54</v>
      </c>
      <c r="C963">
        <v>-6000</v>
      </c>
      <c r="D963">
        <v>5000</v>
      </c>
      <c r="E963">
        <v>2000</v>
      </c>
      <c r="F963">
        <v>-5000</v>
      </c>
      <c r="G963">
        <v>-16000</v>
      </c>
      <c r="H963">
        <v>-16000</v>
      </c>
      <c r="I963">
        <v>-16000</v>
      </c>
    </row>
    <row r="964" spans="1:9" x14ac:dyDescent="0.3">
      <c r="A964" s="48" t="s">
        <v>55</v>
      </c>
      <c r="C964">
        <v>-5000</v>
      </c>
      <c r="D964">
        <v>4000</v>
      </c>
      <c r="E964">
        <v>1000</v>
      </c>
      <c r="F964">
        <v>-6000</v>
      </c>
      <c r="G964">
        <v>-17000</v>
      </c>
      <c r="H964">
        <v>-17000</v>
      </c>
      <c r="I964">
        <v>-17000</v>
      </c>
    </row>
    <row r="965" spans="1:9" x14ac:dyDescent="0.3">
      <c r="A965" s="48" t="s">
        <v>56</v>
      </c>
      <c r="C965">
        <v>-4000</v>
      </c>
      <c r="D965">
        <v>3000</v>
      </c>
      <c r="E965">
        <v>0</v>
      </c>
      <c r="F965">
        <v>-7000</v>
      </c>
      <c r="G965">
        <v>-18000</v>
      </c>
      <c r="H965">
        <v>-18000</v>
      </c>
      <c r="I965">
        <v>-18000</v>
      </c>
    </row>
    <row r="966" spans="1:9" x14ac:dyDescent="0.3">
      <c r="A966" s="48" t="s">
        <v>57</v>
      </c>
      <c r="C966">
        <v>-3000</v>
      </c>
      <c r="D966">
        <v>2000</v>
      </c>
      <c r="E966">
        <v>-1000</v>
      </c>
      <c r="F966">
        <v>-8000</v>
      </c>
      <c r="G966">
        <v>-19000</v>
      </c>
      <c r="H966">
        <v>-19000</v>
      </c>
      <c r="I966">
        <v>-19000</v>
      </c>
    </row>
    <row r="967" spans="1:9" x14ac:dyDescent="0.3">
      <c r="A967" s="48" t="s">
        <v>58</v>
      </c>
      <c r="C967">
        <v>-2000</v>
      </c>
      <c r="D967">
        <v>1000</v>
      </c>
      <c r="E967">
        <v>-2000</v>
      </c>
      <c r="F967">
        <v>-9000</v>
      </c>
      <c r="G967">
        <v>-20000</v>
      </c>
      <c r="H967">
        <v>-20000</v>
      </c>
      <c r="I967">
        <v>-20000</v>
      </c>
    </row>
    <row r="968" spans="1:9" x14ac:dyDescent="0.3">
      <c r="A968" s="15" t="s">
        <v>62</v>
      </c>
    </row>
    <row r="969" spans="1:9" x14ac:dyDescent="0.3">
      <c r="A969" s="48" t="s">
        <v>35</v>
      </c>
      <c r="C969">
        <v>-12000</v>
      </c>
      <c r="D969">
        <v>12000</v>
      </c>
      <c r="E969">
        <v>6000</v>
      </c>
      <c r="F969">
        <v>-1000</v>
      </c>
      <c r="G969">
        <v>-12000</v>
      </c>
      <c r="H969">
        <v>-12000</v>
      </c>
      <c r="I969">
        <v>-12000</v>
      </c>
    </row>
    <row r="970" spans="1:9" x14ac:dyDescent="0.3">
      <c r="A970" s="48" t="s">
        <v>41</v>
      </c>
      <c r="C970">
        <v>-11000</v>
      </c>
      <c r="D970">
        <v>11000</v>
      </c>
      <c r="E970">
        <v>5000</v>
      </c>
      <c r="F970">
        <v>-2000</v>
      </c>
      <c r="G970">
        <v>-13000</v>
      </c>
      <c r="H970">
        <v>-13000</v>
      </c>
      <c r="I970">
        <v>-13000</v>
      </c>
    </row>
    <row r="971" spans="1:9" x14ac:dyDescent="0.3">
      <c r="A971" s="48" t="s">
        <v>42</v>
      </c>
      <c r="C971">
        <v>-10000</v>
      </c>
      <c r="D971">
        <v>10000</v>
      </c>
      <c r="E971">
        <v>4000</v>
      </c>
      <c r="F971">
        <v>-3000</v>
      </c>
      <c r="G971">
        <v>-14000</v>
      </c>
      <c r="H971">
        <v>-14000</v>
      </c>
      <c r="I971">
        <v>-14000</v>
      </c>
    </row>
    <row r="972" spans="1:9" x14ac:dyDescent="0.3">
      <c r="A972" s="48" t="s">
        <v>43</v>
      </c>
      <c r="C972">
        <v>-9000</v>
      </c>
      <c r="D972">
        <v>9000</v>
      </c>
      <c r="E972">
        <v>3000</v>
      </c>
      <c r="F972">
        <v>-4000</v>
      </c>
      <c r="G972">
        <v>-15000</v>
      </c>
      <c r="H972">
        <v>-15000</v>
      </c>
      <c r="I972">
        <v>-15000</v>
      </c>
    </row>
    <row r="973" spans="1:9" x14ac:dyDescent="0.3">
      <c r="A973" s="48" t="s">
        <v>44</v>
      </c>
      <c r="C973">
        <v>-8000</v>
      </c>
      <c r="D973">
        <v>8000</v>
      </c>
      <c r="E973">
        <v>2000</v>
      </c>
      <c r="F973">
        <v>-5000</v>
      </c>
      <c r="G973">
        <v>-16000</v>
      </c>
      <c r="H973">
        <v>-16000</v>
      </c>
      <c r="I973">
        <v>-16000</v>
      </c>
    </row>
    <row r="974" spans="1:9" x14ac:dyDescent="0.3">
      <c r="A974" s="48" t="s">
        <v>54</v>
      </c>
      <c r="C974">
        <v>-7000</v>
      </c>
      <c r="D974">
        <v>7000</v>
      </c>
      <c r="E974">
        <v>1000</v>
      </c>
      <c r="F974">
        <v>-6000</v>
      </c>
      <c r="G974">
        <v>-17000</v>
      </c>
      <c r="H974">
        <v>-17000</v>
      </c>
      <c r="I974">
        <v>-17000</v>
      </c>
    </row>
    <row r="975" spans="1:9" x14ac:dyDescent="0.3">
      <c r="A975" s="48" t="s">
        <v>55</v>
      </c>
      <c r="C975">
        <v>-6000</v>
      </c>
      <c r="D975">
        <v>6000</v>
      </c>
      <c r="E975">
        <v>0</v>
      </c>
      <c r="F975">
        <v>-7000</v>
      </c>
      <c r="G975">
        <v>-18000</v>
      </c>
      <c r="H975">
        <v>-18000</v>
      </c>
      <c r="I975">
        <v>-18000</v>
      </c>
    </row>
    <row r="976" spans="1:9" x14ac:dyDescent="0.3">
      <c r="A976" s="48" t="s">
        <v>56</v>
      </c>
      <c r="C976">
        <v>-5000</v>
      </c>
      <c r="D976">
        <v>5000</v>
      </c>
      <c r="E976">
        <v>-1000</v>
      </c>
      <c r="F976">
        <v>-8000</v>
      </c>
      <c r="G976">
        <v>-19000</v>
      </c>
      <c r="H976">
        <v>-19000</v>
      </c>
      <c r="I976">
        <v>-19000</v>
      </c>
    </row>
    <row r="977" spans="1:9" x14ac:dyDescent="0.3">
      <c r="A977" s="48" t="s">
        <v>57</v>
      </c>
      <c r="C977">
        <v>-4000</v>
      </c>
      <c r="D977">
        <v>4000</v>
      </c>
      <c r="E977">
        <v>-2000</v>
      </c>
      <c r="F977">
        <v>-9000</v>
      </c>
      <c r="G977">
        <v>-20000</v>
      </c>
      <c r="H977">
        <v>-20000</v>
      </c>
      <c r="I977">
        <v>-20000</v>
      </c>
    </row>
    <row r="978" spans="1:9" x14ac:dyDescent="0.3">
      <c r="A978" s="48" t="s">
        <v>58</v>
      </c>
      <c r="C978">
        <v>-3000</v>
      </c>
      <c r="D978">
        <v>3000</v>
      </c>
      <c r="E978">
        <v>-3000</v>
      </c>
      <c r="F978">
        <v>-10000</v>
      </c>
      <c r="G978">
        <v>-21000</v>
      </c>
      <c r="H978">
        <v>-21000</v>
      </c>
      <c r="I978">
        <v>-21000</v>
      </c>
    </row>
    <row r="979" spans="1:9" x14ac:dyDescent="0.3">
      <c r="A979" s="15" t="s">
        <v>63</v>
      </c>
    </row>
    <row r="980" spans="1:9" x14ac:dyDescent="0.3">
      <c r="A980" s="48" t="s">
        <v>35</v>
      </c>
      <c r="C980">
        <v>-13000</v>
      </c>
      <c r="D980">
        <v>14000</v>
      </c>
      <c r="E980">
        <v>5000</v>
      </c>
      <c r="F980">
        <v>-2000</v>
      </c>
      <c r="G980">
        <v>-13000</v>
      </c>
      <c r="H980">
        <v>-13000</v>
      </c>
      <c r="I980">
        <v>-13000</v>
      </c>
    </row>
    <row r="981" spans="1:9" x14ac:dyDescent="0.3">
      <c r="A981" s="48" t="s">
        <v>41</v>
      </c>
      <c r="C981">
        <v>-12000</v>
      </c>
      <c r="D981">
        <v>13000</v>
      </c>
      <c r="E981">
        <v>4000</v>
      </c>
      <c r="F981">
        <v>-3000</v>
      </c>
      <c r="G981">
        <v>-14000</v>
      </c>
      <c r="H981">
        <v>-14000</v>
      </c>
      <c r="I981">
        <v>-14000</v>
      </c>
    </row>
    <row r="982" spans="1:9" x14ac:dyDescent="0.3">
      <c r="A982" s="48" t="s">
        <v>42</v>
      </c>
      <c r="C982">
        <v>-11000</v>
      </c>
      <c r="D982">
        <v>12000</v>
      </c>
      <c r="E982">
        <v>3000</v>
      </c>
      <c r="F982">
        <v>-4000</v>
      </c>
      <c r="G982">
        <v>-15000</v>
      </c>
      <c r="H982">
        <v>-15000</v>
      </c>
      <c r="I982">
        <v>-15000</v>
      </c>
    </row>
    <row r="983" spans="1:9" x14ac:dyDescent="0.3">
      <c r="A983" s="48" t="s">
        <v>43</v>
      </c>
      <c r="C983">
        <v>-10000</v>
      </c>
      <c r="D983">
        <v>11000</v>
      </c>
      <c r="E983">
        <v>2000</v>
      </c>
      <c r="F983">
        <v>-5000</v>
      </c>
      <c r="G983">
        <v>-16000</v>
      </c>
      <c r="H983">
        <v>-16000</v>
      </c>
      <c r="I983">
        <v>-16000</v>
      </c>
    </row>
    <row r="984" spans="1:9" x14ac:dyDescent="0.3">
      <c r="A984" s="48" t="s">
        <v>44</v>
      </c>
      <c r="C984">
        <v>-9000</v>
      </c>
      <c r="D984">
        <v>10000</v>
      </c>
      <c r="E984">
        <v>1000</v>
      </c>
      <c r="F984">
        <v>-6000</v>
      </c>
      <c r="G984">
        <v>-17000</v>
      </c>
      <c r="H984">
        <v>-17000</v>
      </c>
      <c r="I984">
        <v>-17000</v>
      </c>
    </row>
    <row r="985" spans="1:9" x14ac:dyDescent="0.3">
      <c r="A985" s="48" t="s">
        <v>54</v>
      </c>
      <c r="C985">
        <v>-8000</v>
      </c>
      <c r="D985">
        <v>9000</v>
      </c>
      <c r="E985">
        <v>0</v>
      </c>
      <c r="F985">
        <v>-7000</v>
      </c>
      <c r="G985">
        <v>-18000</v>
      </c>
      <c r="H985">
        <v>-18000</v>
      </c>
      <c r="I985">
        <v>-18000</v>
      </c>
    </row>
    <row r="986" spans="1:9" x14ac:dyDescent="0.3">
      <c r="A986" s="48" t="s">
        <v>55</v>
      </c>
      <c r="C986">
        <v>-7000</v>
      </c>
      <c r="D986">
        <v>8000</v>
      </c>
      <c r="E986">
        <v>-1000</v>
      </c>
      <c r="F986">
        <v>-8000</v>
      </c>
      <c r="G986">
        <v>-19000</v>
      </c>
      <c r="H986">
        <v>-19000</v>
      </c>
      <c r="I986">
        <v>-19000</v>
      </c>
    </row>
    <row r="987" spans="1:9" x14ac:dyDescent="0.3">
      <c r="A987" s="48" t="s">
        <v>56</v>
      </c>
      <c r="C987">
        <v>-6000</v>
      </c>
      <c r="D987">
        <v>7000</v>
      </c>
      <c r="E987">
        <v>-2000</v>
      </c>
      <c r="F987">
        <v>-9000</v>
      </c>
      <c r="G987">
        <v>-20000</v>
      </c>
      <c r="H987">
        <v>-20000</v>
      </c>
      <c r="I987">
        <v>-20000</v>
      </c>
    </row>
    <row r="988" spans="1:9" x14ac:dyDescent="0.3">
      <c r="A988" s="48" t="s">
        <v>57</v>
      </c>
      <c r="C988">
        <v>-5000</v>
      </c>
      <c r="D988">
        <v>6000</v>
      </c>
      <c r="E988">
        <v>-3000</v>
      </c>
      <c r="F988">
        <v>-10000</v>
      </c>
      <c r="G988">
        <v>-21000</v>
      </c>
      <c r="H988">
        <v>-21000</v>
      </c>
      <c r="I988">
        <v>-21000</v>
      </c>
    </row>
    <row r="989" spans="1:9" x14ac:dyDescent="0.3">
      <c r="A989" s="48" t="s">
        <v>58</v>
      </c>
      <c r="C989">
        <v>-4000</v>
      </c>
      <c r="D989">
        <v>5000</v>
      </c>
      <c r="E989">
        <v>-4000</v>
      </c>
      <c r="F989">
        <v>-11000</v>
      </c>
      <c r="G989">
        <v>-22000</v>
      </c>
      <c r="H989">
        <v>-22000</v>
      </c>
      <c r="I989">
        <v>-22000</v>
      </c>
    </row>
    <row r="990" spans="1:9" x14ac:dyDescent="0.3">
      <c r="A990" s="14" t="s">
        <v>52</v>
      </c>
    </row>
    <row r="991" spans="1:9" x14ac:dyDescent="0.3">
      <c r="A991" s="15" t="s">
        <v>34</v>
      </c>
    </row>
    <row r="992" spans="1:9" x14ac:dyDescent="0.3">
      <c r="A992" s="48" t="s">
        <v>35</v>
      </c>
      <c r="C992">
        <v>-5000</v>
      </c>
      <c r="D992">
        <v>-5000</v>
      </c>
      <c r="E992">
        <v>19000</v>
      </c>
      <c r="F992">
        <v>6000</v>
      </c>
      <c r="G992">
        <v>-5000</v>
      </c>
      <c r="H992">
        <v>-5000</v>
      </c>
      <c r="I992">
        <v>-5000</v>
      </c>
    </row>
    <row r="993" spans="1:9" x14ac:dyDescent="0.3">
      <c r="A993" s="48" t="s">
        <v>41</v>
      </c>
      <c r="C993">
        <v>-4000</v>
      </c>
      <c r="D993">
        <v>-6000</v>
      </c>
      <c r="E993">
        <v>18000</v>
      </c>
      <c r="F993">
        <v>5000</v>
      </c>
      <c r="G993">
        <v>-6000</v>
      </c>
      <c r="H993">
        <v>-6000</v>
      </c>
      <c r="I993">
        <v>-6000</v>
      </c>
    </row>
    <row r="994" spans="1:9" x14ac:dyDescent="0.3">
      <c r="A994" s="48" t="s">
        <v>42</v>
      </c>
      <c r="C994">
        <v>-3000</v>
      </c>
      <c r="D994">
        <v>-7000</v>
      </c>
      <c r="E994">
        <v>17000</v>
      </c>
      <c r="F994">
        <v>4000</v>
      </c>
      <c r="G994">
        <v>-7000</v>
      </c>
      <c r="H994">
        <v>-7000</v>
      </c>
      <c r="I994">
        <v>-7000</v>
      </c>
    </row>
    <row r="995" spans="1:9" x14ac:dyDescent="0.3">
      <c r="A995" s="48" t="s">
        <v>43</v>
      </c>
      <c r="C995">
        <v>-2000</v>
      </c>
      <c r="D995">
        <v>-8000</v>
      </c>
      <c r="E995">
        <v>16000</v>
      </c>
      <c r="F995">
        <v>3000</v>
      </c>
      <c r="G995">
        <v>-8000</v>
      </c>
      <c r="H995">
        <v>-8000</v>
      </c>
      <c r="I995">
        <v>-8000</v>
      </c>
    </row>
    <row r="996" spans="1:9" x14ac:dyDescent="0.3">
      <c r="A996" s="48" t="s">
        <v>44</v>
      </c>
      <c r="C996">
        <v>-1000</v>
      </c>
      <c r="D996">
        <v>-9000</v>
      </c>
      <c r="E996">
        <v>15000</v>
      </c>
      <c r="F996">
        <v>2000</v>
      </c>
      <c r="G996">
        <v>-9000</v>
      </c>
      <c r="H996">
        <v>-9000</v>
      </c>
      <c r="I996">
        <v>-9000</v>
      </c>
    </row>
    <row r="997" spans="1:9" x14ac:dyDescent="0.3">
      <c r="A997" s="48" t="s">
        <v>54</v>
      </c>
      <c r="C997">
        <v>0</v>
      </c>
      <c r="D997">
        <v>-10000</v>
      </c>
      <c r="E997">
        <v>14000</v>
      </c>
      <c r="F997">
        <v>1000</v>
      </c>
      <c r="G997">
        <v>-10000</v>
      </c>
      <c r="H997">
        <v>-10000</v>
      </c>
      <c r="I997">
        <v>-10000</v>
      </c>
    </row>
    <row r="998" spans="1:9" x14ac:dyDescent="0.3">
      <c r="A998" s="48" t="s">
        <v>55</v>
      </c>
      <c r="C998">
        <v>1000</v>
      </c>
      <c r="D998">
        <v>-11000</v>
      </c>
      <c r="E998">
        <v>13000</v>
      </c>
      <c r="F998">
        <v>0</v>
      </c>
      <c r="G998">
        <v>-11000</v>
      </c>
      <c r="H998">
        <v>-11000</v>
      </c>
      <c r="I998">
        <v>-11000</v>
      </c>
    </row>
    <row r="999" spans="1:9" x14ac:dyDescent="0.3">
      <c r="A999" s="48" t="s">
        <v>56</v>
      </c>
      <c r="C999">
        <v>2000</v>
      </c>
      <c r="D999">
        <v>-12000</v>
      </c>
      <c r="E999">
        <v>12000</v>
      </c>
      <c r="F999">
        <v>-1000</v>
      </c>
      <c r="G999">
        <v>-12000</v>
      </c>
      <c r="H999">
        <v>-12000</v>
      </c>
      <c r="I999">
        <v>-12000</v>
      </c>
    </row>
    <row r="1000" spans="1:9" x14ac:dyDescent="0.3">
      <c r="A1000" s="48" t="s">
        <v>57</v>
      </c>
      <c r="C1000">
        <v>3000</v>
      </c>
      <c r="D1000">
        <v>-13000</v>
      </c>
      <c r="E1000">
        <v>11000</v>
      </c>
      <c r="F1000">
        <v>-2000</v>
      </c>
      <c r="G1000">
        <v>-13000</v>
      </c>
      <c r="H1000">
        <v>-13000</v>
      </c>
      <c r="I1000">
        <v>-13000</v>
      </c>
    </row>
    <row r="1001" spans="1:9" x14ac:dyDescent="0.3">
      <c r="A1001" s="48" t="s">
        <v>58</v>
      </c>
      <c r="C1001">
        <v>4000</v>
      </c>
      <c r="D1001">
        <v>-14000</v>
      </c>
      <c r="E1001">
        <v>10000</v>
      </c>
      <c r="F1001">
        <v>-3000</v>
      </c>
      <c r="G1001">
        <v>-14000</v>
      </c>
      <c r="H1001">
        <v>-14000</v>
      </c>
      <c r="I1001">
        <v>-14000</v>
      </c>
    </row>
    <row r="1002" spans="1:9" x14ac:dyDescent="0.3">
      <c r="A1002" s="15" t="s">
        <v>45</v>
      </c>
    </row>
    <row r="1003" spans="1:9" x14ac:dyDescent="0.3">
      <c r="A1003" s="48" t="s">
        <v>35</v>
      </c>
      <c r="C1003">
        <v>-6000</v>
      </c>
      <c r="D1003">
        <v>-3000</v>
      </c>
      <c r="E1003">
        <v>18000</v>
      </c>
      <c r="F1003">
        <v>5000</v>
      </c>
      <c r="G1003">
        <v>-6000</v>
      </c>
      <c r="H1003">
        <v>-6000</v>
      </c>
      <c r="I1003">
        <v>-6000</v>
      </c>
    </row>
    <row r="1004" spans="1:9" x14ac:dyDescent="0.3">
      <c r="A1004" s="48" t="s">
        <v>41</v>
      </c>
      <c r="C1004">
        <v>-5000</v>
      </c>
      <c r="D1004">
        <v>-4000</v>
      </c>
      <c r="E1004">
        <v>17000</v>
      </c>
      <c r="F1004">
        <v>4000</v>
      </c>
      <c r="G1004">
        <v>-7000</v>
      </c>
      <c r="H1004">
        <v>-7000</v>
      </c>
      <c r="I1004">
        <v>-7000</v>
      </c>
    </row>
    <row r="1005" spans="1:9" x14ac:dyDescent="0.3">
      <c r="A1005" s="48" t="s">
        <v>42</v>
      </c>
      <c r="C1005">
        <v>-4000</v>
      </c>
      <c r="D1005">
        <v>-5000</v>
      </c>
      <c r="E1005">
        <v>16000</v>
      </c>
      <c r="F1005">
        <v>3000</v>
      </c>
      <c r="G1005">
        <v>-8000</v>
      </c>
      <c r="H1005">
        <v>-8000</v>
      </c>
      <c r="I1005">
        <v>-8000</v>
      </c>
    </row>
    <row r="1006" spans="1:9" x14ac:dyDescent="0.3">
      <c r="A1006" s="48" t="s">
        <v>43</v>
      </c>
      <c r="C1006">
        <v>-3000</v>
      </c>
      <c r="D1006">
        <v>-6000</v>
      </c>
      <c r="E1006">
        <v>15000</v>
      </c>
      <c r="F1006">
        <v>2000</v>
      </c>
      <c r="G1006">
        <v>-9000</v>
      </c>
      <c r="H1006">
        <v>-9000</v>
      </c>
      <c r="I1006">
        <v>-9000</v>
      </c>
    </row>
    <row r="1007" spans="1:9" x14ac:dyDescent="0.3">
      <c r="A1007" s="48" t="s">
        <v>44</v>
      </c>
      <c r="C1007">
        <v>-2000</v>
      </c>
      <c r="D1007">
        <v>-7000</v>
      </c>
      <c r="E1007">
        <v>14000</v>
      </c>
      <c r="F1007">
        <v>1000</v>
      </c>
      <c r="G1007">
        <v>-10000</v>
      </c>
      <c r="H1007">
        <v>-10000</v>
      </c>
      <c r="I1007">
        <v>-10000</v>
      </c>
    </row>
    <row r="1008" spans="1:9" x14ac:dyDescent="0.3">
      <c r="A1008" s="48" t="s">
        <v>54</v>
      </c>
      <c r="C1008">
        <v>-1000</v>
      </c>
      <c r="D1008">
        <v>-8000</v>
      </c>
      <c r="E1008">
        <v>13000</v>
      </c>
      <c r="F1008">
        <v>0</v>
      </c>
      <c r="G1008">
        <v>-11000</v>
      </c>
      <c r="H1008">
        <v>-11000</v>
      </c>
      <c r="I1008">
        <v>-11000</v>
      </c>
    </row>
    <row r="1009" spans="1:9" x14ac:dyDescent="0.3">
      <c r="A1009" s="48" t="s">
        <v>55</v>
      </c>
      <c r="C1009">
        <v>0</v>
      </c>
      <c r="D1009">
        <v>-9000</v>
      </c>
      <c r="E1009">
        <v>12000</v>
      </c>
      <c r="F1009">
        <v>-1000</v>
      </c>
      <c r="G1009">
        <v>-12000</v>
      </c>
      <c r="H1009">
        <v>-12000</v>
      </c>
      <c r="I1009">
        <v>-12000</v>
      </c>
    </row>
    <row r="1010" spans="1:9" x14ac:dyDescent="0.3">
      <c r="A1010" s="48" t="s">
        <v>56</v>
      </c>
      <c r="C1010">
        <v>1000</v>
      </c>
      <c r="D1010">
        <v>-10000</v>
      </c>
      <c r="E1010">
        <v>11000</v>
      </c>
      <c r="F1010">
        <v>-2000</v>
      </c>
      <c r="G1010">
        <v>-13000</v>
      </c>
      <c r="H1010">
        <v>-13000</v>
      </c>
      <c r="I1010">
        <v>-13000</v>
      </c>
    </row>
    <row r="1011" spans="1:9" x14ac:dyDescent="0.3">
      <c r="A1011" s="48" t="s">
        <v>57</v>
      </c>
      <c r="C1011">
        <v>2000</v>
      </c>
      <c r="D1011">
        <v>-11000</v>
      </c>
      <c r="E1011">
        <v>10000</v>
      </c>
      <c r="F1011">
        <v>-3000</v>
      </c>
      <c r="G1011">
        <v>-14000</v>
      </c>
      <c r="H1011">
        <v>-14000</v>
      </c>
      <c r="I1011">
        <v>-14000</v>
      </c>
    </row>
    <row r="1012" spans="1:9" x14ac:dyDescent="0.3">
      <c r="A1012" s="48" t="s">
        <v>58</v>
      </c>
      <c r="C1012">
        <v>3000</v>
      </c>
      <c r="D1012">
        <v>-12000</v>
      </c>
      <c r="E1012">
        <v>9000</v>
      </c>
      <c r="F1012">
        <v>-4000</v>
      </c>
      <c r="G1012">
        <v>-15000</v>
      </c>
      <c r="H1012">
        <v>-15000</v>
      </c>
      <c r="I1012">
        <v>-15000</v>
      </c>
    </row>
    <row r="1013" spans="1:9" x14ac:dyDescent="0.3">
      <c r="A1013" s="15" t="s">
        <v>46</v>
      </c>
    </row>
    <row r="1014" spans="1:9" x14ac:dyDescent="0.3">
      <c r="A1014" s="48" t="s">
        <v>35</v>
      </c>
      <c r="C1014">
        <v>-7000</v>
      </c>
      <c r="D1014">
        <v>-1000</v>
      </c>
      <c r="E1014">
        <v>17000</v>
      </c>
      <c r="F1014">
        <v>4000</v>
      </c>
      <c r="G1014">
        <v>-7000</v>
      </c>
      <c r="H1014">
        <v>-7000</v>
      </c>
      <c r="I1014">
        <v>-7000</v>
      </c>
    </row>
    <row r="1015" spans="1:9" x14ac:dyDescent="0.3">
      <c r="A1015" s="48" t="s">
        <v>41</v>
      </c>
      <c r="C1015">
        <v>-6000</v>
      </c>
      <c r="D1015">
        <v>-2000</v>
      </c>
      <c r="E1015">
        <v>16000</v>
      </c>
      <c r="F1015">
        <v>3000</v>
      </c>
      <c r="G1015">
        <v>-8000</v>
      </c>
      <c r="H1015">
        <v>-8000</v>
      </c>
      <c r="I1015">
        <v>-8000</v>
      </c>
    </row>
    <row r="1016" spans="1:9" x14ac:dyDescent="0.3">
      <c r="A1016" s="48" t="s">
        <v>42</v>
      </c>
      <c r="C1016">
        <v>-5000</v>
      </c>
      <c r="D1016">
        <v>-3000</v>
      </c>
      <c r="E1016">
        <v>15000</v>
      </c>
      <c r="F1016">
        <v>2000</v>
      </c>
      <c r="G1016">
        <v>-9000</v>
      </c>
      <c r="H1016">
        <v>-9000</v>
      </c>
      <c r="I1016">
        <v>-9000</v>
      </c>
    </row>
    <row r="1017" spans="1:9" x14ac:dyDescent="0.3">
      <c r="A1017" s="48" t="s">
        <v>43</v>
      </c>
      <c r="C1017">
        <v>-4000</v>
      </c>
      <c r="D1017">
        <v>-4000</v>
      </c>
      <c r="E1017">
        <v>14000</v>
      </c>
      <c r="F1017">
        <v>1000</v>
      </c>
      <c r="G1017">
        <v>-10000</v>
      </c>
      <c r="H1017">
        <v>-10000</v>
      </c>
      <c r="I1017">
        <v>-10000</v>
      </c>
    </row>
    <row r="1018" spans="1:9" x14ac:dyDescent="0.3">
      <c r="A1018" s="48" t="s">
        <v>44</v>
      </c>
      <c r="C1018">
        <v>-3000</v>
      </c>
      <c r="D1018">
        <v>-5000</v>
      </c>
      <c r="E1018">
        <v>13000</v>
      </c>
      <c r="F1018">
        <v>0</v>
      </c>
      <c r="G1018">
        <v>-11000</v>
      </c>
      <c r="H1018">
        <v>-11000</v>
      </c>
      <c r="I1018">
        <v>-11000</v>
      </c>
    </row>
    <row r="1019" spans="1:9" x14ac:dyDescent="0.3">
      <c r="A1019" s="48" t="s">
        <v>54</v>
      </c>
      <c r="C1019">
        <v>-2000</v>
      </c>
      <c r="D1019">
        <v>-6000</v>
      </c>
      <c r="E1019">
        <v>12000</v>
      </c>
      <c r="F1019">
        <v>-1000</v>
      </c>
      <c r="G1019">
        <v>-12000</v>
      </c>
      <c r="H1019">
        <v>-12000</v>
      </c>
      <c r="I1019">
        <v>-12000</v>
      </c>
    </row>
    <row r="1020" spans="1:9" x14ac:dyDescent="0.3">
      <c r="A1020" s="48" t="s">
        <v>55</v>
      </c>
      <c r="C1020">
        <v>-1000</v>
      </c>
      <c r="D1020">
        <v>-7000</v>
      </c>
      <c r="E1020">
        <v>11000</v>
      </c>
      <c r="F1020">
        <v>-2000</v>
      </c>
      <c r="G1020">
        <v>-13000</v>
      </c>
      <c r="H1020">
        <v>-13000</v>
      </c>
      <c r="I1020">
        <v>-13000</v>
      </c>
    </row>
    <row r="1021" spans="1:9" x14ac:dyDescent="0.3">
      <c r="A1021" s="48" t="s">
        <v>56</v>
      </c>
      <c r="C1021">
        <v>0</v>
      </c>
      <c r="D1021">
        <v>-8000</v>
      </c>
      <c r="E1021">
        <v>10000</v>
      </c>
      <c r="F1021">
        <v>-3000</v>
      </c>
      <c r="G1021">
        <v>-14000</v>
      </c>
      <c r="H1021">
        <v>-14000</v>
      </c>
      <c r="I1021">
        <v>-14000</v>
      </c>
    </row>
    <row r="1022" spans="1:9" x14ac:dyDescent="0.3">
      <c r="A1022" s="48" t="s">
        <v>57</v>
      </c>
      <c r="C1022">
        <v>1000</v>
      </c>
      <c r="D1022">
        <v>-9000</v>
      </c>
      <c r="E1022">
        <v>9000</v>
      </c>
      <c r="F1022">
        <v>-4000</v>
      </c>
      <c r="G1022">
        <v>-15000</v>
      </c>
      <c r="H1022">
        <v>-15000</v>
      </c>
      <c r="I1022">
        <v>-15000</v>
      </c>
    </row>
    <row r="1023" spans="1:9" x14ac:dyDescent="0.3">
      <c r="A1023" s="48" t="s">
        <v>58</v>
      </c>
      <c r="C1023">
        <v>2000</v>
      </c>
      <c r="D1023">
        <v>-10000</v>
      </c>
      <c r="E1023">
        <v>8000</v>
      </c>
      <c r="F1023">
        <v>-5000</v>
      </c>
      <c r="G1023">
        <v>-16000</v>
      </c>
      <c r="H1023">
        <v>-16000</v>
      </c>
      <c r="I1023">
        <v>-16000</v>
      </c>
    </row>
    <row r="1024" spans="1:9" x14ac:dyDescent="0.3">
      <c r="A1024" s="15" t="s">
        <v>47</v>
      </c>
    </row>
    <row r="1025" spans="1:9" x14ac:dyDescent="0.3">
      <c r="A1025" s="48" t="s">
        <v>35</v>
      </c>
      <c r="C1025">
        <v>-8000</v>
      </c>
      <c r="D1025">
        <v>1000</v>
      </c>
      <c r="E1025">
        <v>16000</v>
      </c>
      <c r="F1025">
        <v>3000</v>
      </c>
      <c r="G1025">
        <v>-8000</v>
      </c>
      <c r="H1025">
        <v>-8000</v>
      </c>
      <c r="I1025">
        <v>-8000</v>
      </c>
    </row>
    <row r="1026" spans="1:9" x14ac:dyDescent="0.3">
      <c r="A1026" s="48" t="s">
        <v>41</v>
      </c>
      <c r="C1026">
        <v>-7000</v>
      </c>
      <c r="D1026">
        <v>0</v>
      </c>
      <c r="E1026">
        <v>15000</v>
      </c>
      <c r="F1026">
        <v>2000</v>
      </c>
      <c r="G1026">
        <v>-9000</v>
      </c>
      <c r="H1026">
        <v>-9000</v>
      </c>
      <c r="I1026">
        <v>-9000</v>
      </c>
    </row>
    <row r="1027" spans="1:9" x14ac:dyDescent="0.3">
      <c r="A1027" s="48" t="s">
        <v>42</v>
      </c>
      <c r="C1027">
        <v>-6000</v>
      </c>
      <c r="D1027">
        <v>-1000</v>
      </c>
      <c r="E1027">
        <v>14000</v>
      </c>
      <c r="F1027">
        <v>1000</v>
      </c>
      <c r="G1027">
        <v>-10000</v>
      </c>
      <c r="H1027">
        <v>-10000</v>
      </c>
      <c r="I1027">
        <v>-10000</v>
      </c>
    </row>
    <row r="1028" spans="1:9" x14ac:dyDescent="0.3">
      <c r="A1028" s="48" t="s">
        <v>43</v>
      </c>
      <c r="C1028">
        <v>-5000</v>
      </c>
      <c r="D1028">
        <v>-2000</v>
      </c>
      <c r="E1028">
        <v>13000</v>
      </c>
      <c r="F1028">
        <v>0</v>
      </c>
      <c r="G1028">
        <v>-11000</v>
      </c>
      <c r="H1028">
        <v>-11000</v>
      </c>
      <c r="I1028">
        <v>-11000</v>
      </c>
    </row>
    <row r="1029" spans="1:9" x14ac:dyDescent="0.3">
      <c r="A1029" s="48" t="s">
        <v>44</v>
      </c>
      <c r="C1029">
        <v>-4000</v>
      </c>
      <c r="D1029">
        <v>-3000</v>
      </c>
      <c r="E1029">
        <v>12000</v>
      </c>
      <c r="F1029">
        <v>-1000</v>
      </c>
      <c r="G1029">
        <v>-12000</v>
      </c>
      <c r="H1029">
        <v>-12000</v>
      </c>
      <c r="I1029">
        <v>-12000</v>
      </c>
    </row>
    <row r="1030" spans="1:9" x14ac:dyDescent="0.3">
      <c r="A1030" s="48" t="s">
        <v>54</v>
      </c>
      <c r="C1030">
        <v>-3000</v>
      </c>
      <c r="D1030">
        <v>-4000</v>
      </c>
      <c r="E1030">
        <v>11000</v>
      </c>
      <c r="F1030">
        <v>-2000</v>
      </c>
      <c r="G1030">
        <v>-13000</v>
      </c>
      <c r="H1030">
        <v>-13000</v>
      </c>
      <c r="I1030">
        <v>-13000</v>
      </c>
    </row>
    <row r="1031" spans="1:9" x14ac:dyDescent="0.3">
      <c r="A1031" s="48" t="s">
        <v>55</v>
      </c>
      <c r="C1031">
        <v>-2000</v>
      </c>
      <c r="D1031">
        <v>-5000</v>
      </c>
      <c r="E1031">
        <v>10000</v>
      </c>
      <c r="F1031">
        <v>-3000</v>
      </c>
      <c r="G1031">
        <v>-14000</v>
      </c>
      <c r="H1031">
        <v>-14000</v>
      </c>
      <c r="I1031">
        <v>-14000</v>
      </c>
    </row>
    <row r="1032" spans="1:9" x14ac:dyDescent="0.3">
      <c r="A1032" s="48" t="s">
        <v>56</v>
      </c>
      <c r="C1032">
        <v>-1000</v>
      </c>
      <c r="D1032">
        <v>-6000</v>
      </c>
      <c r="E1032">
        <v>9000</v>
      </c>
      <c r="F1032">
        <v>-4000</v>
      </c>
      <c r="G1032">
        <v>-15000</v>
      </c>
      <c r="H1032">
        <v>-15000</v>
      </c>
      <c r="I1032">
        <v>-15000</v>
      </c>
    </row>
    <row r="1033" spans="1:9" x14ac:dyDescent="0.3">
      <c r="A1033" s="48" t="s">
        <v>57</v>
      </c>
      <c r="C1033">
        <v>0</v>
      </c>
      <c r="D1033">
        <v>-7000</v>
      </c>
      <c r="E1033">
        <v>8000</v>
      </c>
      <c r="F1033">
        <v>-5000</v>
      </c>
      <c r="G1033">
        <v>-16000</v>
      </c>
      <c r="H1033">
        <v>-16000</v>
      </c>
      <c r="I1033">
        <v>-16000</v>
      </c>
    </row>
    <row r="1034" spans="1:9" x14ac:dyDescent="0.3">
      <c r="A1034" s="48" t="s">
        <v>58</v>
      </c>
      <c r="C1034">
        <v>1000</v>
      </c>
      <c r="D1034">
        <v>-8000</v>
      </c>
      <c r="E1034">
        <v>7000</v>
      </c>
      <c r="F1034">
        <v>-6000</v>
      </c>
      <c r="G1034">
        <v>-17000</v>
      </c>
      <c r="H1034">
        <v>-17000</v>
      </c>
      <c r="I1034">
        <v>-17000</v>
      </c>
    </row>
    <row r="1035" spans="1:9" x14ac:dyDescent="0.3">
      <c r="A1035" s="15" t="s">
        <v>48</v>
      </c>
    </row>
    <row r="1036" spans="1:9" x14ac:dyDescent="0.3">
      <c r="A1036" s="48" t="s">
        <v>35</v>
      </c>
      <c r="C1036">
        <v>-9000</v>
      </c>
      <c r="D1036">
        <v>3000</v>
      </c>
      <c r="E1036">
        <v>15000</v>
      </c>
      <c r="F1036">
        <v>2000</v>
      </c>
      <c r="G1036">
        <v>-9000</v>
      </c>
      <c r="H1036">
        <v>-9000</v>
      </c>
      <c r="I1036">
        <v>-9000</v>
      </c>
    </row>
    <row r="1037" spans="1:9" x14ac:dyDescent="0.3">
      <c r="A1037" s="48" t="s">
        <v>41</v>
      </c>
      <c r="C1037">
        <v>-8000</v>
      </c>
      <c r="D1037">
        <v>2000</v>
      </c>
      <c r="E1037">
        <v>14000</v>
      </c>
      <c r="F1037">
        <v>1000</v>
      </c>
      <c r="G1037">
        <v>-10000</v>
      </c>
      <c r="H1037">
        <v>-10000</v>
      </c>
      <c r="I1037">
        <v>-10000</v>
      </c>
    </row>
    <row r="1038" spans="1:9" x14ac:dyDescent="0.3">
      <c r="A1038" s="48" t="s">
        <v>42</v>
      </c>
      <c r="C1038">
        <v>-7000</v>
      </c>
      <c r="D1038">
        <v>1000</v>
      </c>
      <c r="E1038">
        <v>13000</v>
      </c>
      <c r="F1038">
        <v>0</v>
      </c>
      <c r="G1038">
        <v>-11000</v>
      </c>
      <c r="H1038">
        <v>-11000</v>
      </c>
      <c r="I1038">
        <v>-11000</v>
      </c>
    </row>
    <row r="1039" spans="1:9" x14ac:dyDescent="0.3">
      <c r="A1039" s="48" t="s">
        <v>43</v>
      </c>
      <c r="C1039">
        <v>-6000</v>
      </c>
      <c r="D1039">
        <v>0</v>
      </c>
      <c r="E1039">
        <v>12000</v>
      </c>
      <c r="F1039">
        <v>-1000</v>
      </c>
      <c r="G1039">
        <v>-12000</v>
      </c>
      <c r="H1039">
        <v>-12000</v>
      </c>
      <c r="I1039">
        <v>-12000</v>
      </c>
    </row>
    <row r="1040" spans="1:9" x14ac:dyDescent="0.3">
      <c r="A1040" s="48" t="s">
        <v>44</v>
      </c>
      <c r="C1040">
        <v>-5000</v>
      </c>
      <c r="D1040">
        <v>-1000</v>
      </c>
      <c r="E1040">
        <v>11000</v>
      </c>
      <c r="F1040">
        <v>-2000</v>
      </c>
      <c r="G1040">
        <v>-13000</v>
      </c>
      <c r="H1040">
        <v>-13000</v>
      </c>
      <c r="I1040">
        <v>-13000</v>
      </c>
    </row>
    <row r="1041" spans="1:9" x14ac:dyDescent="0.3">
      <c r="A1041" s="48" t="s">
        <v>54</v>
      </c>
      <c r="C1041">
        <v>-4000</v>
      </c>
      <c r="D1041">
        <v>-2000</v>
      </c>
      <c r="E1041">
        <v>10000</v>
      </c>
      <c r="F1041">
        <v>-3000</v>
      </c>
      <c r="G1041">
        <v>-14000</v>
      </c>
      <c r="H1041">
        <v>-14000</v>
      </c>
      <c r="I1041">
        <v>-14000</v>
      </c>
    </row>
    <row r="1042" spans="1:9" x14ac:dyDescent="0.3">
      <c r="A1042" s="48" t="s">
        <v>55</v>
      </c>
      <c r="C1042">
        <v>-3000</v>
      </c>
      <c r="D1042">
        <v>-3000</v>
      </c>
      <c r="E1042">
        <v>9000</v>
      </c>
      <c r="F1042">
        <v>-4000</v>
      </c>
      <c r="G1042">
        <v>-15000</v>
      </c>
      <c r="H1042">
        <v>-15000</v>
      </c>
      <c r="I1042">
        <v>-15000</v>
      </c>
    </row>
    <row r="1043" spans="1:9" x14ac:dyDescent="0.3">
      <c r="A1043" s="48" t="s">
        <v>56</v>
      </c>
      <c r="C1043">
        <v>-2000</v>
      </c>
      <c r="D1043">
        <v>-4000</v>
      </c>
      <c r="E1043">
        <v>8000</v>
      </c>
      <c r="F1043">
        <v>-5000</v>
      </c>
      <c r="G1043">
        <v>-16000</v>
      </c>
      <c r="H1043">
        <v>-16000</v>
      </c>
      <c r="I1043">
        <v>-16000</v>
      </c>
    </row>
    <row r="1044" spans="1:9" x14ac:dyDescent="0.3">
      <c r="A1044" s="48" t="s">
        <v>57</v>
      </c>
      <c r="C1044">
        <v>-1000</v>
      </c>
      <c r="D1044">
        <v>-5000</v>
      </c>
      <c r="E1044">
        <v>7000</v>
      </c>
      <c r="F1044">
        <v>-6000</v>
      </c>
      <c r="G1044">
        <v>-17000</v>
      </c>
      <c r="H1044">
        <v>-17000</v>
      </c>
      <c r="I1044">
        <v>-17000</v>
      </c>
    </row>
    <row r="1045" spans="1:9" x14ac:dyDescent="0.3">
      <c r="A1045" s="48" t="s">
        <v>58</v>
      </c>
      <c r="C1045">
        <v>0</v>
      </c>
      <c r="D1045">
        <v>-6000</v>
      </c>
      <c r="E1045">
        <v>6000</v>
      </c>
      <c r="F1045">
        <v>-7000</v>
      </c>
      <c r="G1045">
        <v>-18000</v>
      </c>
      <c r="H1045">
        <v>-18000</v>
      </c>
      <c r="I1045">
        <v>-18000</v>
      </c>
    </row>
    <row r="1046" spans="1:9" x14ac:dyDescent="0.3">
      <c r="A1046" s="15" t="s">
        <v>59</v>
      </c>
    </row>
    <row r="1047" spans="1:9" x14ac:dyDescent="0.3">
      <c r="A1047" s="48" t="s">
        <v>35</v>
      </c>
      <c r="C1047">
        <v>-10000</v>
      </c>
      <c r="D1047">
        <v>5000</v>
      </c>
      <c r="E1047">
        <v>14000</v>
      </c>
      <c r="F1047">
        <v>1000</v>
      </c>
      <c r="G1047">
        <v>-10000</v>
      </c>
      <c r="H1047">
        <v>-10000</v>
      </c>
      <c r="I1047">
        <v>-10000</v>
      </c>
    </row>
    <row r="1048" spans="1:9" x14ac:dyDescent="0.3">
      <c r="A1048" s="48" t="s">
        <v>41</v>
      </c>
      <c r="C1048">
        <v>-9000</v>
      </c>
      <c r="D1048">
        <v>4000</v>
      </c>
      <c r="E1048">
        <v>13000</v>
      </c>
      <c r="F1048">
        <v>0</v>
      </c>
      <c r="G1048">
        <v>-11000</v>
      </c>
      <c r="H1048">
        <v>-11000</v>
      </c>
      <c r="I1048">
        <v>-11000</v>
      </c>
    </row>
    <row r="1049" spans="1:9" x14ac:dyDescent="0.3">
      <c r="A1049" s="48" t="s">
        <v>42</v>
      </c>
      <c r="C1049">
        <v>-8000</v>
      </c>
      <c r="D1049">
        <v>3000</v>
      </c>
      <c r="E1049">
        <v>12000</v>
      </c>
      <c r="F1049">
        <v>-1000</v>
      </c>
      <c r="G1049">
        <v>-12000</v>
      </c>
      <c r="H1049">
        <v>-12000</v>
      </c>
      <c r="I1049">
        <v>-12000</v>
      </c>
    </row>
    <row r="1050" spans="1:9" x14ac:dyDescent="0.3">
      <c r="A1050" s="48" t="s">
        <v>43</v>
      </c>
      <c r="C1050">
        <v>-7000</v>
      </c>
      <c r="D1050">
        <v>2000</v>
      </c>
      <c r="E1050">
        <v>11000</v>
      </c>
      <c r="F1050">
        <v>-2000</v>
      </c>
      <c r="G1050">
        <v>-13000</v>
      </c>
      <c r="H1050">
        <v>-13000</v>
      </c>
      <c r="I1050">
        <v>-13000</v>
      </c>
    </row>
    <row r="1051" spans="1:9" x14ac:dyDescent="0.3">
      <c r="A1051" s="48" t="s">
        <v>44</v>
      </c>
      <c r="C1051">
        <v>-6000</v>
      </c>
      <c r="D1051">
        <v>1000</v>
      </c>
      <c r="E1051">
        <v>10000</v>
      </c>
      <c r="F1051">
        <v>-3000</v>
      </c>
      <c r="G1051">
        <v>-14000</v>
      </c>
      <c r="H1051">
        <v>-14000</v>
      </c>
      <c r="I1051">
        <v>-14000</v>
      </c>
    </row>
    <row r="1052" spans="1:9" x14ac:dyDescent="0.3">
      <c r="A1052" s="48" t="s">
        <v>54</v>
      </c>
      <c r="C1052">
        <v>-5000</v>
      </c>
      <c r="D1052">
        <v>0</v>
      </c>
      <c r="E1052">
        <v>9000</v>
      </c>
      <c r="F1052">
        <v>-4000</v>
      </c>
      <c r="G1052">
        <v>-15000</v>
      </c>
      <c r="H1052">
        <v>-15000</v>
      </c>
      <c r="I1052">
        <v>-15000</v>
      </c>
    </row>
    <row r="1053" spans="1:9" x14ac:dyDescent="0.3">
      <c r="A1053" s="48" t="s">
        <v>55</v>
      </c>
      <c r="C1053">
        <v>-4000</v>
      </c>
      <c r="D1053">
        <v>-1000</v>
      </c>
      <c r="E1053">
        <v>8000</v>
      </c>
      <c r="F1053">
        <v>-5000</v>
      </c>
      <c r="G1053">
        <v>-16000</v>
      </c>
      <c r="H1053">
        <v>-16000</v>
      </c>
      <c r="I1053">
        <v>-16000</v>
      </c>
    </row>
    <row r="1054" spans="1:9" x14ac:dyDescent="0.3">
      <c r="A1054" s="48" t="s">
        <v>56</v>
      </c>
      <c r="C1054">
        <v>-3000</v>
      </c>
      <c r="D1054">
        <v>-2000</v>
      </c>
      <c r="E1054">
        <v>7000</v>
      </c>
      <c r="F1054">
        <v>-6000</v>
      </c>
      <c r="G1054">
        <v>-17000</v>
      </c>
      <c r="H1054">
        <v>-17000</v>
      </c>
      <c r="I1054">
        <v>-17000</v>
      </c>
    </row>
    <row r="1055" spans="1:9" x14ac:dyDescent="0.3">
      <c r="A1055" s="48" t="s">
        <v>57</v>
      </c>
      <c r="C1055">
        <v>-2000</v>
      </c>
      <c r="D1055">
        <v>-3000</v>
      </c>
      <c r="E1055">
        <v>6000</v>
      </c>
      <c r="F1055">
        <v>-7000</v>
      </c>
      <c r="G1055">
        <v>-18000</v>
      </c>
      <c r="H1055">
        <v>-18000</v>
      </c>
      <c r="I1055">
        <v>-18000</v>
      </c>
    </row>
    <row r="1056" spans="1:9" x14ac:dyDescent="0.3">
      <c r="A1056" s="48" t="s">
        <v>58</v>
      </c>
      <c r="C1056">
        <v>-1000</v>
      </c>
      <c r="D1056">
        <v>-4000</v>
      </c>
      <c r="E1056">
        <v>5000</v>
      </c>
      <c r="F1056">
        <v>-8000</v>
      </c>
      <c r="G1056">
        <v>-19000</v>
      </c>
      <c r="H1056">
        <v>-19000</v>
      </c>
      <c r="I1056">
        <v>-19000</v>
      </c>
    </row>
    <row r="1057" spans="1:9" x14ac:dyDescent="0.3">
      <c r="A1057" s="15" t="s">
        <v>60</v>
      </c>
    </row>
    <row r="1058" spans="1:9" x14ac:dyDescent="0.3">
      <c r="A1058" s="48" t="s">
        <v>35</v>
      </c>
      <c r="C1058">
        <v>-11000</v>
      </c>
      <c r="D1058">
        <v>7000</v>
      </c>
      <c r="E1058">
        <v>13000</v>
      </c>
      <c r="F1058">
        <v>0</v>
      </c>
      <c r="G1058">
        <v>-11000</v>
      </c>
      <c r="H1058">
        <v>-11000</v>
      </c>
      <c r="I1058">
        <v>-11000</v>
      </c>
    </row>
    <row r="1059" spans="1:9" x14ac:dyDescent="0.3">
      <c r="A1059" s="48" t="s">
        <v>41</v>
      </c>
      <c r="C1059">
        <v>-10000</v>
      </c>
      <c r="D1059">
        <v>6000</v>
      </c>
      <c r="E1059">
        <v>12000</v>
      </c>
      <c r="F1059">
        <v>-1000</v>
      </c>
      <c r="G1059">
        <v>-12000</v>
      </c>
      <c r="H1059">
        <v>-12000</v>
      </c>
      <c r="I1059">
        <v>-12000</v>
      </c>
    </row>
    <row r="1060" spans="1:9" x14ac:dyDescent="0.3">
      <c r="A1060" s="48" t="s">
        <v>42</v>
      </c>
      <c r="C1060">
        <v>-9000</v>
      </c>
      <c r="D1060">
        <v>5000</v>
      </c>
      <c r="E1060">
        <v>11000</v>
      </c>
      <c r="F1060">
        <v>-2000</v>
      </c>
      <c r="G1060">
        <v>-13000</v>
      </c>
      <c r="H1060">
        <v>-13000</v>
      </c>
      <c r="I1060">
        <v>-13000</v>
      </c>
    </row>
    <row r="1061" spans="1:9" x14ac:dyDescent="0.3">
      <c r="A1061" s="48" t="s">
        <v>43</v>
      </c>
      <c r="C1061">
        <v>-8000</v>
      </c>
      <c r="D1061">
        <v>4000</v>
      </c>
      <c r="E1061">
        <v>10000</v>
      </c>
      <c r="F1061">
        <v>-3000</v>
      </c>
      <c r="G1061">
        <v>-14000</v>
      </c>
      <c r="H1061">
        <v>-14000</v>
      </c>
      <c r="I1061">
        <v>-14000</v>
      </c>
    </row>
    <row r="1062" spans="1:9" x14ac:dyDescent="0.3">
      <c r="A1062" s="48" t="s">
        <v>44</v>
      </c>
      <c r="C1062">
        <v>-7000</v>
      </c>
      <c r="D1062">
        <v>3000</v>
      </c>
      <c r="E1062">
        <v>9000</v>
      </c>
      <c r="F1062">
        <v>-4000</v>
      </c>
      <c r="G1062">
        <v>-15000</v>
      </c>
      <c r="H1062">
        <v>-15000</v>
      </c>
      <c r="I1062">
        <v>-15000</v>
      </c>
    </row>
    <row r="1063" spans="1:9" x14ac:dyDescent="0.3">
      <c r="A1063" s="48" t="s">
        <v>54</v>
      </c>
      <c r="C1063">
        <v>-6000</v>
      </c>
      <c r="D1063">
        <v>2000</v>
      </c>
      <c r="E1063">
        <v>8000</v>
      </c>
      <c r="F1063">
        <v>-5000</v>
      </c>
      <c r="G1063">
        <v>-16000</v>
      </c>
      <c r="H1063">
        <v>-16000</v>
      </c>
      <c r="I1063">
        <v>-16000</v>
      </c>
    </row>
    <row r="1064" spans="1:9" x14ac:dyDescent="0.3">
      <c r="A1064" s="48" t="s">
        <v>55</v>
      </c>
      <c r="C1064">
        <v>-5000</v>
      </c>
      <c r="D1064">
        <v>1000</v>
      </c>
      <c r="E1064">
        <v>7000</v>
      </c>
      <c r="F1064">
        <v>-6000</v>
      </c>
      <c r="G1064">
        <v>-17000</v>
      </c>
      <c r="H1064">
        <v>-17000</v>
      </c>
      <c r="I1064">
        <v>-17000</v>
      </c>
    </row>
    <row r="1065" spans="1:9" x14ac:dyDescent="0.3">
      <c r="A1065" s="48" t="s">
        <v>56</v>
      </c>
      <c r="C1065">
        <v>-4000</v>
      </c>
      <c r="D1065">
        <v>0</v>
      </c>
      <c r="E1065">
        <v>6000</v>
      </c>
      <c r="F1065">
        <v>-7000</v>
      </c>
      <c r="G1065">
        <v>-18000</v>
      </c>
      <c r="H1065">
        <v>-18000</v>
      </c>
      <c r="I1065">
        <v>-18000</v>
      </c>
    </row>
    <row r="1066" spans="1:9" x14ac:dyDescent="0.3">
      <c r="A1066" s="48" t="s">
        <v>57</v>
      </c>
      <c r="C1066">
        <v>-3000</v>
      </c>
      <c r="D1066">
        <v>-1000</v>
      </c>
      <c r="E1066">
        <v>5000</v>
      </c>
      <c r="F1066">
        <v>-8000</v>
      </c>
      <c r="G1066">
        <v>-19000</v>
      </c>
      <c r="H1066">
        <v>-19000</v>
      </c>
      <c r="I1066">
        <v>-19000</v>
      </c>
    </row>
    <row r="1067" spans="1:9" x14ac:dyDescent="0.3">
      <c r="A1067" s="48" t="s">
        <v>58</v>
      </c>
      <c r="C1067">
        <v>-2000</v>
      </c>
      <c r="D1067">
        <v>-2000</v>
      </c>
      <c r="E1067">
        <v>4000</v>
      </c>
      <c r="F1067">
        <v>-9000</v>
      </c>
      <c r="G1067">
        <v>-20000</v>
      </c>
      <c r="H1067">
        <v>-20000</v>
      </c>
      <c r="I1067">
        <v>-20000</v>
      </c>
    </row>
    <row r="1068" spans="1:9" x14ac:dyDescent="0.3">
      <c r="A1068" s="15" t="s">
        <v>61</v>
      </c>
    </row>
    <row r="1069" spans="1:9" x14ac:dyDescent="0.3">
      <c r="A1069" s="48" t="s">
        <v>35</v>
      </c>
      <c r="C1069">
        <v>-12000</v>
      </c>
      <c r="D1069">
        <v>9000</v>
      </c>
      <c r="E1069">
        <v>12000</v>
      </c>
      <c r="F1069">
        <v>-1000</v>
      </c>
      <c r="G1069">
        <v>-12000</v>
      </c>
      <c r="H1069">
        <v>-12000</v>
      </c>
      <c r="I1069">
        <v>-12000</v>
      </c>
    </row>
    <row r="1070" spans="1:9" x14ac:dyDescent="0.3">
      <c r="A1070" s="48" t="s">
        <v>41</v>
      </c>
      <c r="C1070">
        <v>-11000</v>
      </c>
      <c r="D1070">
        <v>8000</v>
      </c>
      <c r="E1070">
        <v>11000</v>
      </c>
      <c r="F1070">
        <v>-2000</v>
      </c>
      <c r="G1070">
        <v>-13000</v>
      </c>
      <c r="H1070">
        <v>-13000</v>
      </c>
      <c r="I1070">
        <v>-13000</v>
      </c>
    </row>
    <row r="1071" spans="1:9" x14ac:dyDescent="0.3">
      <c r="A1071" s="48" t="s">
        <v>42</v>
      </c>
      <c r="C1071">
        <v>-10000</v>
      </c>
      <c r="D1071">
        <v>7000</v>
      </c>
      <c r="E1071">
        <v>10000</v>
      </c>
      <c r="F1071">
        <v>-3000</v>
      </c>
      <c r="G1071">
        <v>-14000</v>
      </c>
      <c r="H1071">
        <v>-14000</v>
      </c>
      <c r="I1071">
        <v>-14000</v>
      </c>
    </row>
    <row r="1072" spans="1:9" x14ac:dyDescent="0.3">
      <c r="A1072" s="48" t="s">
        <v>43</v>
      </c>
      <c r="C1072">
        <v>-9000</v>
      </c>
      <c r="D1072">
        <v>6000</v>
      </c>
      <c r="E1072">
        <v>9000</v>
      </c>
      <c r="F1072">
        <v>-4000</v>
      </c>
      <c r="G1072">
        <v>-15000</v>
      </c>
      <c r="H1072">
        <v>-15000</v>
      </c>
      <c r="I1072">
        <v>-15000</v>
      </c>
    </row>
    <row r="1073" spans="1:9" x14ac:dyDescent="0.3">
      <c r="A1073" s="48" t="s">
        <v>44</v>
      </c>
      <c r="C1073">
        <v>-8000</v>
      </c>
      <c r="D1073">
        <v>5000</v>
      </c>
      <c r="E1073">
        <v>8000</v>
      </c>
      <c r="F1073">
        <v>-5000</v>
      </c>
      <c r="G1073">
        <v>-16000</v>
      </c>
      <c r="H1073">
        <v>-16000</v>
      </c>
      <c r="I1073">
        <v>-16000</v>
      </c>
    </row>
    <row r="1074" spans="1:9" x14ac:dyDescent="0.3">
      <c r="A1074" s="48" t="s">
        <v>54</v>
      </c>
      <c r="C1074">
        <v>-7000</v>
      </c>
      <c r="D1074">
        <v>4000</v>
      </c>
      <c r="E1074">
        <v>7000</v>
      </c>
      <c r="F1074">
        <v>-6000</v>
      </c>
      <c r="G1074">
        <v>-17000</v>
      </c>
      <c r="H1074">
        <v>-17000</v>
      </c>
      <c r="I1074">
        <v>-17000</v>
      </c>
    </row>
    <row r="1075" spans="1:9" x14ac:dyDescent="0.3">
      <c r="A1075" s="48" t="s">
        <v>55</v>
      </c>
      <c r="C1075">
        <v>-6000</v>
      </c>
      <c r="D1075">
        <v>3000</v>
      </c>
      <c r="E1075">
        <v>6000</v>
      </c>
      <c r="F1075">
        <v>-7000</v>
      </c>
      <c r="G1075">
        <v>-18000</v>
      </c>
      <c r="H1075">
        <v>-18000</v>
      </c>
      <c r="I1075">
        <v>-18000</v>
      </c>
    </row>
    <row r="1076" spans="1:9" x14ac:dyDescent="0.3">
      <c r="A1076" s="48" t="s">
        <v>56</v>
      </c>
      <c r="C1076">
        <v>-5000</v>
      </c>
      <c r="D1076">
        <v>2000</v>
      </c>
      <c r="E1076">
        <v>5000</v>
      </c>
      <c r="F1076">
        <v>-8000</v>
      </c>
      <c r="G1076">
        <v>-19000</v>
      </c>
      <c r="H1076">
        <v>-19000</v>
      </c>
      <c r="I1076">
        <v>-19000</v>
      </c>
    </row>
    <row r="1077" spans="1:9" x14ac:dyDescent="0.3">
      <c r="A1077" s="48" t="s">
        <v>57</v>
      </c>
      <c r="C1077">
        <v>-4000</v>
      </c>
      <c r="D1077">
        <v>1000</v>
      </c>
      <c r="E1077">
        <v>4000</v>
      </c>
      <c r="F1077">
        <v>-9000</v>
      </c>
      <c r="G1077">
        <v>-20000</v>
      </c>
      <c r="H1077">
        <v>-20000</v>
      </c>
      <c r="I1077">
        <v>-20000</v>
      </c>
    </row>
    <row r="1078" spans="1:9" x14ac:dyDescent="0.3">
      <c r="A1078" s="48" t="s">
        <v>58</v>
      </c>
      <c r="C1078">
        <v>-3000</v>
      </c>
      <c r="D1078">
        <v>0</v>
      </c>
      <c r="E1078">
        <v>3000</v>
      </c>
      <c r="F1078">
        <v>-10000</v>
      </c>
      <c r="G1078">
        <v>-21000</v>
      </c>
      <c r="H1078">
        <v>-21000</v>
      </c>
      <c r="I1078">
        <v>-21000</v>
      </c>
    </row>
    <row r="1079" spans="1:9" x14ac:dyDescent="0.3">
      <c r="A1079" s="15" t="s">
        <v>62</v>
      </c>
    </row>
    <row r="1080" spans="1:9" x14ac:dyDescent="0.3">
      <c r="A1080" s="48" t="s">
        <v>35</v>
      </c>
      <c r="C1080">
        <v>-13000</v>
      </c>
      <c r="D1080">
        <v>11000</v>
      </c>
      <c r="E1080">
        <v>11000</v>
      </c>
      <c r="F1080">
        <v>-2000</v>
      </c>
      <c r="G1080">
        <v>-13000</v>
      </c>
      <c r="H1080">
        <v>-13000</v>
      </c>
      <c r="I1080">
        <v>-13000</v>
      </c>
    </row>
    <row r="1081" spans="1:9" x14ac:dyDescent="0.3">
      <c r="A1081" s="48" t="s">
        <v>41</v>
      </c>
      <c r="C1081">
        <v>-12000</v>
      </c>
      <c r="D1081">
        <v>10000</v>
      </c>
      <c r="E1081">
        <v>10000</v>
      </c>
      <c r="F1081">
        <v>-3000</v>
      </c>
      <c r="G1081">
        <v>-14000</v>
      </c>
      <c r="H1081">
        <v>-14000</v>
      </c>
      <c r="I1081">
        <v>-14000</v>
      </c>
    </row>
    <row r="1082" spans="1:9" x14ac:dyDescent="0.3">
      <c r="A1082" s="48" t="s">
        <v>42</v>
      </c>
      <c r="C1082">
        <v>-11000</v>
      </c>
      <c r="D1082">
        <v>9000</v>
      </c>
      <c r="E1082">
        <v>9000</v>
      </c>
      <c r="F1082">
        <v>-4000</v>
      </c>
      <c r="G1082">
        <v>-15000</v>
      </c>
      <c r="H1082">
        <v>-15000</v>
      </c>
      <c r="I1082">
        <v>-15000</v>
      </c>
    </row>
    <row r="1083" spans="1:9" x14ac:dyDescent="0.3">
      <c r="A1083" s="48" t="s">
        <v>43</v>
      </c>
      <c r="C1083">
        <v>-10000</v>
      </c>
      <c r="D1083">
        <v>8000</v>
      </c>
      <c r="E1083">
        <v>8000</v>
      </c>
      <c r="F1083">
        <v>-5000</v>
      </c>
      <c r="G1083">
        <v>-16000</v>
      </c>
      <c r="H1083">
        <v>-16000</v>
      </c>
      <c r="I1083">
        <v>-16000</v>
      </c>
    </row>
    <row r="1084" spans="1:9" x14ac:dyDescent="0.3">
      <c r="A1084" s="48" t="s">
        <v>44</v>
      </c>
      <c r="C1084">
        <v>-9000</v>
      </c>
      <c r="D1084">
        <v>7000</v>
      </c>
      <c r="E1084">
        <v>7000</v>
      </c>
      <c r="F1084">
        <v>-6000</v>
      </c>
      <c r="G1084">
        <v>-17000</v>
      </c>
      <c r="H1084">
        <v>-17000</v>
      </c>
      <c r="I1084">
        <v>-17000</v>
      </c>
    </row>
    <row r="1085" spans="1:9" x14ac:dyDescent="0.3">
      <c r="A1085" s="48" t="s">
        <v>54</v>
      </c>
      <c r="C1085">
        <v>-8000</v>
      </c>
      <c r="D1085">
        <v>6000</v>
      </c>
      <c r="E1085">
        <v>6000</v>
      </c>
      <c r="F1085">
        <v>-7000</v>
      </c>
      <c r="G1085">
        <v>-18000</v>
      </c>
      <c r="H1085">
        <v>-18000</v>
      </c>
      <c r="I1085">
        <v>-18000</v>
      </c>
    </row>
    <row r="1086" spans="1:9" x14ac:dyDescent="0.3">
      <c r="A1086" s="48" t="s">
        <v>55</v>
      </c>
      <c r="C1086">
        <v>-7000</v>
      </c>
      <c r="D1086">
        <v>5000</v>
      </c>
      <c r="E1086">
        <v>5000</v>
      </c>
      <c r="F1086">
        <v>-8000</v>
      </c>
      <c r="G1086">
        <v>-19000</v>
      </c>
      <c r="H1086">
        <v>-19000</v>
      </c>
      <c r="I1086">
        <v>-19000</v>
      </c>
    </row>
    <row r="1087" spans="1:9" x14ac:dyDescent="0.3">
      <c r="A1087" s="48" t="s">
        <v>56</v>
      </c>
      <c r="C1087">
        <v>-6000</v>
      </c>
      <c r="D1087">
        <v>4000</v>
      </c>
      <c r="E1087">
        <v>4000</v>
      </c>
      <c r="F1087">
        <v>-9000</v>
      </c>
      <c r="G1087">
        <v>-20000</v>
      </c>
      <c r="H1087">
        <v>-20000</v>
      </c>
      <c r="I1087">
        <v>-20000</v>
      </c>
    </row>
    <row r="1088" spans="1:9" x14ac:dyDescent="0.3">
      <c r="A1088" s="48" t="s">
        <v>57</v>
      </c>
      <c r="C1088">
        <v>-5000</v>
      </c>
      <c r="D1088">
        <v>3000</v>
      </c>
      <c r="E1088">
        <v>3000</v>
      </c>
      <c r="F1088">
        <v>-10000</v>
      </c>
      <c r="G1088">
        <v>-21000</v>
      </c>
      <c r="H1088">
        <v>-21000</v>
      </c>
      <c r="I1088">
        <v>-21000</v>
      </c>
    </row>
    <row r="1089" spans="1:9" x14ac:dyDescent="0.3">
      <c r="A1089" s="48" t="s">
        <v>58</v>
      </c>
      <c r="C1089">
        <v>-4000</v>
      </c>
      <c r="D1089">
        <v>2000</v>
      </c>
      <c r="E1089">
        <v>2000</v>
      </c>
      <c r="F1089">
        <v>-11000</v>
      </c>
      <c r="G1089">
        <v>-22000</v>
      </c>
      <c r="H1089">
        <v>-22000</v>
      </c>
      <c r="I1089">
        <v>-22000</v>
      </c>
    </row>
    <row r="1090" spans="1:9" x14ac:dyDescent="0.3">
      <c r="A1090" s="15" t="s">
        <v>63</v>
      </c>
    </row>
    <row r="1091" spans="1:9" x14ac:dyDescent="0.3">
      <c r="A1091" s="48" t="s">
        <v>35</v>
      </c>
      <c r="C1091">
        <v>-14000</v>
      </c>
      <c r="D1091">
        <v>13000</v>
      </c>
      <c r="E1091">
        <v>10000</v>
      </c>
      <c r="F1091">
        <v>-3000</v>
      </c>
      <c r="G1091">
        <v>-14000</v>
      </c>
      <c r="H1091">
        <v>-14000</v>
      </c>
      <c r="I1091">
        <v>-14000</v>
      </c>
    </row>
    <row r="1092" spans="1:9" x14ac:dyDescent="0.3">
      <c r="A1092" s="48" t="s">
        <v>41</v>
      </c>
      <c r="C1092">
        <v>-13000</v>
      </c>
      <c r="D1092">
        <v>12000</v>
      </c>
      <c r="E1092">
        <v>9000</v>
      </c>
      <c r="F1092">
        <v>-4000</v>
      </c>
      <c r="G1092">
        <v>-15000</v>
      </c>
      <c r="H1092">
        <v>-15000</v>
      </c>
      <c r="I1092">
        <v>-15000</v>
      </c>
    </row>
    <row r="1093" spans="1:9" x14ac:dyDescent="0.3">
      <c r="A1093" s="48" t="s">
        <v>42</v>
      </c>
      <c r="C1093">
        <v>-12000</v>
      </c>
      <c r="D1093">
        <v>11000</v>
      </c>
      <c r="E1093">
        <v>8000</v>
      </c>
      <c r="F1093">
        <v>-5000</v>
      </c>
      <c r="G1093">
        <v>-16000</v>
      </c>
      <c r="H1093">
        <v>-16000</v>
      </c>
      <c r="I1093">
        <v>-16000</v>
      </c>
    </row>
    <row r="1094" spans="1:9" x14ac:dyDescent="0.3">
      <c r="A1094" s="48" t="s">
        <v>43</v>
      </c>
      <c r="C1094">
        <v>-11000</v>
      </c>
      <c r="D1094">
        <v>10000</v>
      </c>
      <c r="E1094">
        <v>7000</v>
      </c>
      <c r="F1094">
        <v>-6000</v>
      </c>
      <c r="G1094">
        <v>-17000</v>
      </c>
      <c r="H1094">
        <v>-17000</v>
      </c>
      <c r="I1094">
        <v>-17000</v>
      </c>
    </row>
    <row r="1095" spans="1:9" x14ac:dyDescent="0.3">
      <c r="A1095" s="48" t="s">
        <v>44</v>
      </c>
      <c r="C1095">
        <v>-10000</v>
      </c>
      <c r="D1095">
        <v>9000</v>
      </c>
      <c r="E1095">
        <v>6000</v>
      </c>
      <c r="F1095">
        <v>-7000</v>
      </c>
      <c r="G1095">
        <v>-18000</v>
      </c>
      <c r="H1095">
        <v>-18000</v>
      </c>
      <c r="I1095">
        <v>-18000</v>
      </c>
    </row>
    <row r="1096" spans="1:9" x14ac:dyDescent="0.3">
      <c r="A1096" s="48" t="s">
        <v>54</v>
      </c>
      <c r="C1096">
        <v>-9000</v>
      </c>
      <c r="D1096">
        <v>8000</v>
      </c>
      <c r="E1096">
        <v>5000</v>
      </c>
      <c r="F1096">
        <v>-8000</v>
      </c>
      <c r="G1096">
        <v>-19000</v>
      </c>
      <c r="H1096">
        <v>-19000</v>
      </c>
      <c r="I1096">
        <v>-19000</v>
      </c>
    </row>
    <row r="1097" spans="1:9" x14ac:dyDescent="0.3">
      <c r="A1097" s="48" t="s">
        <v>55</v>
      </c>
      <c r="C1097">
        <v>-8000</v>
      </c>
      <c r="D1097">
        <v>7000</v>
      </c>
      <c r="E1097">
        <v>4000</v>
      </c>
      <c r="F1097">
        <v>-9000</v>
      </c>
      <c r="G1097">
        <v>-20000</v>
      </c>
      <c r="H1097">
        <v>-20000</v>
      </c>
      <c r="I1097">
        <v>-20000</v>
      </c>
    </row>
    <row r="1098" spans="1:9" x14ac:dyDescent="0.3">
      <c r="A1098" s="48" t="s">
        <v>56</v>
      </c>
      <c r="C1098">
        <v>-7000</v>
      </c>
      <c r="D1098">
        <v>6000</v>
      </c>
      <c r="E1098">
        <v>3000</v>
      </c>
      <c r="F1098">
        <v>-10000</v>
      </c>
      <c r="G1098">
        <v>-21000</v>
      </c>
      <c r="H1098">
        <v>-21000</v>
      </c>
      <c r="I1098">
        <v>-21000</v>
      </c>
    </row>
    <row r="1099" spans="1:9" x14ac:dyDescent="0.3">
      <c r="A1099" s="48" t="s">
        <v>57</v>
      </c>
      <c r="C1099">
        <v>-6000</v>
      </c>
      <c r="D1099">
        <v>5000</v>
      </c>
      <c r="E1099">
        <v>2000</v>
      </c>
      <c r="F1099">
        <v>-11000</v>
      </c>
      <c r="G1099">
        <v>-22000</v>
      </c>
      <c r="H1099">
        <v>-22000</v>
      </c>
      <c r="I1099">
        <v>-22000</v>
      </c>
    </row>
    <row r="1100" spans="1:9" x14ac:dyDescent="0.3">
      <c r="A1100" s="48" t="s">
        <v>58</v>
      </c>
      <c r="C1100">
        <v>-5000</v>
      </c>
      <c r="D1100">
        <v>4000</v>
      </c>
      <c r="E1100">
        <v>1000</v>
      </c>
      <c r="F1100">
        <v>-12000</v>
      </c>
      <c r="G1100">
        <v>-23000</v>
      </c>
      <c r="H1100">
        <v>-23000</v>
      </c>
      <c r="I1100">
        <v>-23000</v>
      </c>
    </row>
    <row r="1101" spans="1:9" x14ac:dyDescent="0.3">
      <c r="A1101" s="13" t="s">
        <v>38</v>
      </c>
    </row>
    <row r="1102" spans="1:9" x14ac:dyDescent="0.3">
      <c r="A1102" s="14" t="s">
        <v>33</v>
      </c>
    </row>
    <row r="1103" spans="1:9" x14ac:dyDescent="0.3">
      <c r="A1103" s="15" t="s">
        <v>34</v>
      </c>
    </row>
    <row r="1104" spans="1:9" x14ac:dyDescent="0.3">
      <c r="A1104" s="48" t="s">
        <v>35</v>
      </c>
      <c r="C1104">
        <v>-2000</v>
      </c>
      <c r="D1104">
        <v>-2000</v>
      </c>
      <c r="E1104">
        <v>-2000</v>
      </c>
      <c r="F1104">
        <v>20000</v>
      </c>
      <c r="G1104">
        <v>-2000</v>
      </c>
      <c r="H1104">
        <v>-2000</v>
      </c>
      <c r="I1104">
        <v>-2000</v>
      </c>
    </row>
    <row r="1105" spans="1:9" x14ac:dyDescent="0.3">
      <c r="A1105" s="48" t="s">
        <v>41</v>
      </c>
      <c r="C1105">
        <v>-1000</v>
      </c>
      <c r="D1105">
        <v>-3000</v>
      </c>
      <c r="E1105">
        <v>-3000</v>
      </c>
      <c r="F1105">
        <v>19000</v>
      </c>
      <c r="G1105">
        <v>-3000</v>
      </c>
      <c r="H1105">
        <v>-3000</v>
      </c>
      <c r="I1105">
        <v>-3000</v>
      </c>
    </row>
    <row r="1106" spans="1:9" x14ac:dyDescent="0.3">
      <c r="A1106" s="48" t="s">
        <v>42</v>
      </c>
      <c r="C1106">
        <v>0</v>
      </c>
      <c r="D1106">
        <v>-4000</v>
      </c>
      <c r="E1106">
        <v>-4000</v>
      </c>
      <c r="F1106">
        <v>18000</v>
      </c>
      <c r="G1106">
        <v>-4000</v>
      </c>
      <c r="H1106">
        <v>-4000</v>
      </c>
      <c r="I1106">
        <v>-4000</v>
      </c>
    </row>
    <row r="1107" spans="1:9" x14ac:dyDescent="0.3">
      <c r="A1107" s="48" t="s">
        <v>43</v>
      </c>
      <c r="C1107">
        <v>1000</v>
      </c>
      <c r="D1107">
        <v>-5000</v>
      </c>
      <c r="E1107">
        <v>-5000</v>
      </c>
      <c r="F1107">
        <v>17000</v>
      </c>
      <c r="G1107">
        <v>-5000</v>
      </c>
      <c r="H1107">
        <v>-5000</v>
      </c>
      <c r="I1107">
        <v>-5000</v>
      </c>
    </row>
    <row r="1108" spans="1:9" x14ac:dyDescent="0.3">
      <c r="A1108" s="48" t="s">
        <v>44</v>
      </c>
      <c r="C1108">
        <v>2000</v>
      </c>
      <c r="D1108">
        <v>-6000</v>
      </c>
      <c r="E1108">
        <v>-6000</v>
      </c>
      <c r="F1108">
        <v>16000</v>
      </c>
      <c r="G1108">
        <v>-6000</v>
      </c>
      <c r="H1108">
        <v>-6000</v>
      </c>
      <c r="I1108">
        <v>-6000</v>
      </c>
    </row>
    <row r="1109" spans="1:9" x14ac:dyDescent="0.3">
      <c r="A1109" s="48" t="s">
        <v>54</v>
      </c>
      <c r="C1109">
        <v>3000</v>
      </c>
      <c r="D1109">
        <v>-7000</v>
      </c>
      <c r="E1109">
        <v>-7000</v>
      </c>
      <c r="F1109">
        <v>15000</v>
      </c>
      <c r="G1109">
        <v>-7000</v>
      </c>
      <c r="H1109">
        <v>-7000</v>
      </c>
      <c r="I1109">
        <v>-7000</v>
      </c>
    </row>
    <row r="1110" spans="1:9" x14ac:dyDescent="0.3">
      <c r="A1110" s="48" t="s">
        <v>55</v>
      </c>
      <c r="C1110">
        <v>4000</v>
      </c>
      <c r="D1110">
        <v>-8000</v>
      </c>
      <c r="E1110">
        <v>-8000</v>
      </c>
      <c r="F1110">
        <v>14000</v>
      </c>
      <c r="G1110">
        <v>-8000</v>
      </c>
      <c r="H1110">
        <v>-8000</v>
      </c>
      <c r="I1110">
        <v>-8000</v>
      </c>
    </row>
    <row r="1111" spans="1:9" x14ac:dyDescent="0.3">
      <c r="A1111" s="48" t="s">
        <v>56</v>
      </c>
      <c r="C1111">
        <v>5000</v>
      </c>
      <c r="D1111">
        <v>-9000</v>
      </c>
      <c r="E1111">
        <v>-9000</v>
      </c>
      <c r="F1111">
        <v>13000</v>
      </c>
      <c r="G1111">
        <v>-9000</v>
      </c>
      <c r="H1111">
        <v>-9000</v>
      </c>
      <c r="I1111">
        <v>-9000</v>
      </c>
    </row>
    <row r="1112" spans="1:9" x14ac:dyDescent="0.3">
      <c r="A1112" s="48" t="s">
        <v>57</v>
      </c>
      <c r="C1112">
        <v>6000</v>
      </c>
      <c r="D1112">
        <v>-10000</v>
      </c>
      <c r="E1112">
        <v>-10000</v>
      </c>
      <c r="F1112">
        <v>12000</v>
      </c>
      <c r="G1112">
        <v>-10000</v>
      </c>
      <c r="H1112">
        <v>-10000</v>
      </c>
      <c r="I1112">
        <v>-10000</v>
      </c>
    </row>
    <row r="1113" spans="1:9" x14ac:dyDescent="0.3">
      <c r="A1113" s="48" t="s">
        <v>58</v>
      </c>
      <c r="C1113">
        <v>7000</v>
      </c>
      <c r="D1113">
        <v>-11000</v>
      </c>
      <c r="E1113">
        <v>-11000</v>
      </c>
      <c r="F1113">
        <v>11000</v>
      </c>
      <c r="G1113">
        <v>-11000</v>
      </c>
      <c r="H1113">
        <v>-11000</v>
      </c>
      <c r="I1113">
        <v>-11000</v>
      </c>
    </row>
    <row r="1114" spans="1:9" x14ac:dyDescent="0.3">
      <c r="A1114" s="15" t="s">
        <v>45</v>
      </c>
    </row>
    <row r="1115" spans="1:9" x14ac:dyDescent="0.3">
      <c r="A1115" s="48" t="s">
        <v>35</v>
      </c>
      <c r="C1115">
        <v>-3000</v>
      </c>
      <c r="D1115">
        <v>0</v>
      </c>
      <c r="E1115">
        <v>-3000</v>
      </c>
      <c r="F1115">
        <v>19000</v>
      </c>
      <c r="G1115">
        <v>-3000</v>
      </c>
      <c r="H1115">
        <v>-3000</v>
      </c>
      <c r="I1115">
        <v>-3000</v>
      </c>
    </row>
    <row r="1116" spans="1:9" x14ac:dyDescent="0.3">
      <c r="A1116" s="48" t="s">
        <v>41</v>
      </c>
      <c r="C1116">
        <v>-2000</v>
      </c>
      <c r="D1116">
        <v>-1000</v>
      </c>
      <c r="E1116">
        <v>-4000</v>
      </c>
      <c r="F1116">
        <v>18000</v>
      </c>
      <c r="G1116">
        <v>-4000</v>
      </c>
      <c r="H1116">
        <v>-4000</v>
      </c>
      <c r="I1116">
        <v>-4000</v>
      </c>
    </row>
    <row r="1117" spans="1:9" x14ac:dyDescent="0.3">
      <c r="A1117" s="48" t="s">
        <v>42</v>
      </c>
      <c r="C1117">
        <v>-1000</v>
      </c>
      <c r="D1117">
        <v>-2000</v>
      </c>
      <c r="E1117">
        <v>-5000</v>
      </c>
      <c r="F1117">
        <v>17000</v>
      </c>
      <c r="G1117">
        <v>-5000</v>
      </c>
      <c r="H1117">
        <v>-5000</v>
      </c>
      <c r="I1117">
        <v>-5000</v>
      </c>
    </row>
    <row r="1118" spans="1:9" x14ac:dyDescent="0.3">
      <c r="A1118" s="48" t="s">
        <v>43</v>
      </c>
      <c r="C1118">
        <v>0</v>
      </c>
      <c r="D1118">
        <v>-3000</v>
      </c>
      <c r="E1118">
        <v>-6000</v>
      </c>
      <c r="F1118">
        <v>16000</v>
      </c>
      <c r="G1118">
        <v>-6000</v>
      </c>
      <c r="H1118">
        <v>-6000</v>
      </c>
      <c r="I1118">
        <v>-6000</v>
      </c>
    </row>
    <row r="1119" spans="1:9" x14ac:dyDescent="0.3">
      <c r="A1119" s="48" t="s">
        <v>44</v>
      </c>
      <c r="C1119">
        <v>1000</v>
      </c>
      <c r="D1119">
        <v>-4000</v>
      </c>
      <c r="E1119">
        <v>-7000</v>
      </c>
      <c r="F1119">
        <v>15000</v>
      </c>
      <c r="G1119">
        <v>-7000</v>
      </c>
      <c r="H1119">
        <v>-7000</v>
      </c>
      <c r="I1119">
        <v>-7000</v>
      </c>
    </row>
    <row r="1120" spans="1:9" x14ac:dyDescent="0.3">
      <c r="A1120" s="48" t="s">
        <v>54</v>
      </c>
      <c r="C1120">
        <v>2000</v>
      </c>
      <c r="D1120">
        <v>-5000</v>
      </c>
      <c r="E1120">
        <v>-8000</v>
      </c>
      <c r="F1120">
        <v>14000</v>
      </c>
      <c r="G1120">
        <v>-8000</v>
      </c>
      <c r="H1120">
        <v>-8000</v>
      </c>
      <c r="I1120">
        <v>-8000</v>
      </c>
    </row>
    <row r="1121" spans="1:9" x14ac:dyDescent="0.3">
      <c r="A1121" s="48" t="s">
        <v>55</v>
      </c>
      <c r="C1121">
        <v>3000</v>
      </c>
      <c r="D1121">
        <v>-6000</v>
      </c>
      <c r="E1121">
        <v>-9000</v>
      </c>
      <c r="F1121">
        <v>13000</v>
      </c>
      <c r="G1121">
        <v>-9000</v>
      </c>
      <c r="H1121">
        <v>-9000</v>
      </c>
      <c r="I1121">
        <v>-9000</v>
      </c>
    </row>
    <row r="1122" spans="1:9" x14ac:dyDescent="0.3">
      <c r="A1122" s="48" t="s">
        <v>56</v>
      </c>
      <c r="C1122">
        <v>4000</v>
      </c>
      <c r="D1122">
        <v>-7000</v>
      </c>
      <c r="E1122">
        <v>-10000</v>
      </c>
      <c r="F1122">
        <v>12000</v>
      </c>
      <c r="G1122">
        <v>-10000</v>
      </c>
      <c r="H1122">
        <v>-10000</v>
      </c>
      <c r="I1122">
        <v>-10000</v>
      </c>
    </row>
    <row r="1123" spans="1:9" x14ac:dyDescent="0.3">
      <c r="A1123" s="48" t="s">
        <v>57</v>
      </c>
      <c r="C1123">
        <v>5000</v>
      </c>
      <c r="D1123">
        <v>-8000</v>
      </c>
      <c r="E1123">
        <v>-11000</v>
      </c>
      <c r="F1123">
        <v>11000</v>
      </c>
      <c r="G1123">
        <v>-11000</v>
      </c>
      <c r="H1123">
        <v>-11000</v>
      </c>
      <c r="I1123">
        <v>-11000</v>
      </c>
    </row>
    <row r="1124" spans="1:9" x14ac:dyDescent="0.3">
      <c r="A1124" s="48" t="s">
        <v>58</v>
      </c>
      <c r="C1124">
        <v>6000</v>
      </c>
      <c r="D1124">
        <v>-9000</v>
      </c>
      <c r="E1124">
        <v>-12000</v>
      </c>
      <c r="F1124">
        <v>10000</v>
      </c>
      <c r="G1124">
        <v>-12000</v>
      </c>
      <c r="H1124">
        <v>-12000</v>
      </c>
      <c r="I1124">
        <v>-12000</v>
      </c>
    </row>
    <row r="1125" spans="1:9" x14ac:dyDescent="0.3">
      <c r="A1125" s="15" t="s">
        <v>46</v>
      </c>
    </row>
    <row r="1126" spans="1:9" x14ac:dyDescent="0.3">
      <c r="A1126" s="48" t="s">
        <v>35</v>
      </c>
      <c r="C1126">
        <v>-4000</v>
      </c>
      <c r="D1126">
        <v>2000</v>
      </c>
      <c r="E1126">
        <v>-4000</v>
      </c>
      <c r="F1126">
        <v>18000</v>
      </c>
      <c r="G1126">
        <v>-4000</v>
      </c>
      <c r="H1126">
        <v>-4000</v>
      </c>
      <c r="I1126">
        <v>-4000</v>
      </c>
    </row>
    <row r="1127" spans="1:9" x14ac:dyDescent="0.3">
      <c r="A1127" s="48" t="s">
        <v>41</v>
      </c>
      <c r="C1127">
        <v>-3000</v>
      </c>
      <c r="D1127">
        <v>1000</v>
      </c>
      <c r="E1127">
        <v>-5000</v>
      </c>
      <c r="F1127">
        <v>17000</v>
      </c>
      <c r="G1127">
        <v>-5000</v>
      </c>
      <c r="H1127">
        <v>-5000</v>
      </c>
      <c r="I1127">
        <v>-5000</v>
      </c>
    </row>
    <row r="1128" spans="1:9" x14ac:dyDescent="0.3">
      <c r="A1128" s="48" t="s">
        <v>42</v>
      </c>
      <c r="C1128">
        <v>-2000</v>
      </c>
      <c r="D1128">
        <v>0</v>
      </c>
      <c r="E1128">
        <v>-6000</v>
      </c>
      <c r="F1128">
        <v>16000</v>
      </c>
      <c r="G1128">
        <v>-6000</v>
      </c>
      <c r="H1128">
        <v>-6000</v>
      </c>
      <c r="I1128">
        <v>-6000</v>
      </c>
    </row>
    <row r="1129" spans="1:9" x14ac:dyDescent="0.3">
      <c r="A1129" s="48" t="s">
        <v>43</v>
      </c>
      <c r="C1129">
        <v>-1000</v>
      </c>
      <c r="D1129">
        <v>-1000</v>
      </c>
      <c r="E1129">
        <v>-7000</v>
      </c>
      <c r="F1129">
        <v>15000</v>
      </c>
      <c r="G1129">
        <v>-7000</v>
      </c>
      <c r="H1129">
        <v>-7000</v>
      </c>
      <c r="I1129">
        <v>-7000</v>
      </c>
    </row>
    <row r="1130" spans="1:9" x14ac:dyDescent="0.3">
      <c r="A1130" s="48" t="s">
        <v>44</v>
      </c>
      <c r="C1130">
        <v>0</v>
      </c>
      <c r="D1130">
        <v>-2000</v>
      </c>
      <c r="E1130">
        <v>-8000</v>
      </c>
      <c r="F1130">
        <v>14000</v>
      </c>
      <c r="G1130">
        <v>-8000</v>
      </c>
      <c r="H1130">
        <v>-8000</v>
      </c>
      <c r="I1130">
        <v>-8000</v>
      </c>
    </row>
    <row r="1131" spans="1:9" x14ac:dyDescent="0.3">
      <c r="A1131" s="48" t="s">
        <v>54</v>
      </c>
      <c r="C1131">
        <v>1000</v>
      </c>
      <c r="D1131">
        <v>-3000</v>
      </c>
      <c r="E1131">
        <v>-9000</v>
      </c>
      <c r="F1131">
        <v>13000</v>
      </c>
      <c r="G1131">
        <v>-9000</v>
      </c>
      <c r="H1131">
        <v>-9000</v>
      </c>
      <c r="I1131">
        <v>-9000</v>
      </c>
    </row>
    <row r="1132" spans="1:9" x14ac:dyDescent="0.3">
      <c r="A1132" s="48" t="s">
        <v>55</v>
      </c>
      <c r="C1132">
        <v>2000</v>
      </c>
      <c r="D1132">
        <v>-4000</v>
      </c>
      <c r="E1132">
        <v>-10000</v>
      </c>
      <c r="F1132">
        <v>12000</v>
      </c>
      <c r="G1132">
        <v>-10000</v>
      </c>
      <c r="H1132">
        <v>-10000</v>
      </c>
      <c r="I1132">
        <v>-10000</v>
      </c>
    </row>
    <row r="1133" spans="1:9" x14ac:dyDescent="0.3">
      <c r="A1133" s="48" t="s">
        <v>56</v>
      </c>
      <c r="C1133">
        <v>3000</v>
      </c>
      <c r="D1133">
        <v>-5000</v>
      </c>
      <c r="E1133">
        <v>-11000</v>
      </c>
      <c r="F1133">
        <v>11000</v>
      </c>
      <c r="G1133">
        <v>-11000</v>
      </c>
      <c r="H1133">
        <v>-11000</v>
      </c>
      <c r="I1133">
        <v>-11000</v>
      </c>
    </row>
    <row r="1134" spans="1:9" x14ac:dyDescent="0.3">
      <c r="A1134" s="48" t="s">
        <v>57</v>
      </c>
      <c r="C1134">
        <v>4000</v>
      </c>
      <c r="D1134">
        <v>-6000</v>
      </c>
      <c r="E1134">
        <v>-12000</v>
      </c>
      <c r="F1134">
        <v>10000</v>
      </c>
      <c r="G1134">
        <v>-12000</v>
      </c>
      <c r="H1134">
        <v>-12000</v>
      </c>
      <c r="I1134">
        <v>-12000</v>
      </c>
    </row>
    <row r="1135" spans="1:9" x14ac:dyDescent="0.3">
      <c r="A1135" s="48" t="s">
        <v>58</v>
      </c>
      <c r="C1135">
        <v>5000</v>
      </c>
      <c r="D1135">
        <v>-7000</v>
      </c>
      <c r="E1135">
        <v>-13000</v>
      </c>
      <c r="F1135">
        <v>9000</v>
      </c>
      <c r="G1135">
        <v>-13000</v>
      </c>
      <c r="H1135">
        <v>-13000</v>
      </c>
      <c r="I1135">
        <v>-13000</v>
      </c>
    </row>
    <row r="1136" spans="1:9" x14ac:dyDescent="0.3">
      <c r="A1136" s="15" t="s">
        <v>47</v>
      </c>
    </row>
    <row r="1137" spans="1:9" x14ac:dyDescent="0.3">
      <c r="A1137" s="48" t="s">
        <v>35</v>
      </c>
      <c r="C1137">
        <v>-5000</v>
      </c>
      <c r="D1137">
        <v>4000</v>
      </c>
      <c r="E1137">
        <v>-5000</v>
      </c>
      <c r="F1137">
        <v>17000</v>
      </c>
      <c r="G1137">
        <v>-5000</v>
      </c>
      <c r="H1137">
        <v>-5000</v>
      </c>
      <c r="I1137">
        <v>-5000</v>
      </c>
    </row>
    <row r="1138" spans="1:9" x14ac:dyDescent="0.3">
      <c r="A1138" s="48" t="s">
        <v>41</v>
      </c>
      <c r="C1138">
        <v>-4000</v>
      </c>
      <c r="D1138">
        <v>3000</v>
      </c>
      <c r="E1138">
        <v>-6000</v>
      </c>
      <c r="F1138">
        <v>16000</v>
      </c>
      <c r="G1138">
        <v>-6000</v>
      </c>
      <c r="H1138">
        <v>-6000</v>
      </c>
      <c r="I1138">
        <v>-6000</v>
      </c>
    </row>
    <row r="1139" spans="1:9" x14ac:dyDescent="0.3">
      <c r="A1139" s="48" t="s">
        <v>42</v>
      </c>
      <c r="C1139">
        <v>-3000</v>
      </c>
      <c r="D1139">
        <v>2000</v>
      </c>
      <c r="E1139">
        <v>-7000</v>
      </c>
      <c r="F1139">
        <v>15000</v>
      </c>
      <c r="G1139">
        <v>-7000</v>
      </c>
      <c r="H1139">
        <v>-7000</v>
      </c>
      <c r="I1139">
        <v>-7000</v>
      </c>
    </row>
    <row r="1140" spans="1:9" x14ac:dyDescent="0.3">
      <c r="A1140" s="48" t="s">
        <v>43</v>
      </c>
      <c r="C1140">
        <v>-2000</v>
      </c>
      <c r="D1140">
        <v>1000</v>
      </c>
      <c r="E1140">
        <v>-8000</v>
      </c>
      <c r="F1140">
        <v>14000</v>
      </c>
      <c r="G1140">
        <v>-8000</v>
      </c>
      <c r="H1140">
        <v>-8000</v>
      </c>
      <c r="I1140">
        <v>-8000</v>
      </c>
    </row>
    <row r="1141" spans="1:9" x14ac:dyDescent="0.3">
      <c r="A1141" s="48" t="s">
        <v>44</v>
      </c>
      <c r="C1141">
        <v>-1000</v>
      </c>
      <c r="D1141">
        <v>0</v>
      </c>
      <c r="E1141">
        <v>-9000</v>
      </c>
      <c r="F1141">
        <v>13000</v>
      </c>
      <c r="G1141">
        <v>-9000</v>
      </c>
      <c r="H1141">
        <v>-9000</v>
      </c>
      <c r="I1141">
        <v>-9000</v>
      </c>
    </row>
    <row r="1142" spans="1:9" x14ac:dyDescent="0.3">
      <c r="A1142" s="48" t="s">
        <v>54</v>
      </c>
      <c r="C1142">
        <v>0</v>
      </c>
      <c r="D1142">
        <v>-1000</v>
      </c>
      <c r="E1142">
        <v>-10000</v>
      </c>
      <c r="F1142">
        <v>12000</v>
      </c>
      <c r="G1142">
        <v>-10000</v>
      </c>
      <c r="H1142">
        <v>-10000</v>
      </c>
      <c r="I1142">
        <v>-10000</v>
      </c>
    </row>
    <row r="1143" spans="1:9" x14ac:dyDescent="0.3">
      <c r="A1143" s="48" t="s">
        <v>55</v>
      </c>
      <c r="C1143">
        <v>1000</v>
      </c>
      <c r="D1143">
        <v>-2000</v>
      </c>
      <c r="E1143">
        <v>-11000</v>
      </c>
      <c r="F1143">
        <v>11000</v>
      </c>
      <c r="G1143">
        <v>-11000</v>
      </c>
      <c r="H1143">
        <v>-11000</v>
      </c>
      <c r="I1143">
        <v>-11000</v>
      </c>
    </row>
    <row r="1144" spans="1:9" x14ac:dyDescent="0.3">
      <c r="A1144" s="48" t="s">
        <v>56</v>
      </c>
      <c r="C1144">
        <v>2000</v>
      </c>
      <c r="D1144">
        <v>-3000</v>
      </c>
      <c r="E1144">
        <v>-12000</v>
      </c>
      <c r="F1144">
        <v>10000</v>
      </c>
      <c r="G1144">
        <v>-12000</v>
      </c>
      <c r="H1144">
        <v>-12000</v>
      </c>
      <c r="I1144">
        <v>-12000</v>
      </c>
    </row>
    <row r="1145" spans="1:9" x14ac:dyDescent="0.3">
      <c r="A1145" s="48" t="s">
        <v>57</v>
      </c>
      <c r="C1145">
        <v>3000</v>
      </c>
      <c r="D1145">
        <v>-4000</v>
      </c>
      <c r="E1145">
        <v>-13000</v>
      </c>
      <c r="F1145">
        <v>9000</v>
      </c>
      <c r="G1145">
        <v>-13000</v>
      </c>
      <c r="H1145">
        <v>-13000</v>
      </c>
      <c r="I1145">
        <v>-13000</v>
      </c>
    </row>
    <row r="1146" spans="1:9" x14ac:dyDescent="0.3">
      <c r="A1146" s="48" t="s">
        <v>58</v>
      </c>
      <c r="C1146">
        <v>4000</v>
      </c>
      <c r="D1146">
        <v>-5000</v>
      </c>
      <c r="E1146">
        <v>-14000</v>
      </c>
      <c r="F1146">
        <v>8000</v>
      </c>
      <c r="G1146">
        <v>-14000</v>
      </c>
      <c r="H1146">
        <v>-14000</v>
      </c>
      <c r="I1146">
        <v>-14000</v>
      </c>
    </row>
    <row r="1147" spans="1:9" x14ac:dyDescent="0.3">
      <c r="A1147" s="15" t="s">
        <v>48</v>
      </c>
    </row>
    <row r="1148" spans="1:9" x14ac:dyDescent="0.3">
      <c r="A1148" s="48" t="s">
        <v>35</v>
      </c>
      <c r="C1148">
        <v>-6000</v>
      </c>
      <c r="D1148">
        <v>6000</v>
      </c>
      <c r="E1148">
        <v>-6000</v>
      </c>
      <c r="F1148">
        <v>16000</v>
      </c>
      <c r="G1148">
        <v>-6000</v>
      </c>
      <c r="H1148">
        <v>-6000</v>
      </c>
      <c r="I1148">
        <v>-6000</v>
      </c>
    </row>
    <row r="1149" spans="1:9" x14ac:dyDescent="0.3">
      <c r="A1149" s="48" t="s">
        <v>41</v>
      </c>
      <c r="C1149">
        <v>-5000</v>
      </c>
      <c r="D1149">
        <v>5000</v>
      </c>
      <c r="E1149">
        <v>-7000</v>
      </c>
      <c r="F1149">
        <v>15000</v>
      </c>
      <c r="G1149">
        <v>-7000</v>
      </c>
      <c r="H1149">
        <v>-7000</v>
      </c>
      <c r="I1149">
        <v>-7000</v>
      </c>
    </row>
    <row r="1150" spans="1:9" x14ac:dyDescent="0.3">
      <c r="A1150" s="48" t="s">
        <v>42</v>
      </c>
      <c r="C1150">
        <v>-4000</v>
      </c>
      <c r="D1150">
        <v>4000</v>
      </c>
      <c r="E1150">
        <v>-8000</v>
      </c>
      <c r="F1150">
        <v>14000</v>
      </c>
      <c r="G1150">
        <v>-8000</v>
      </c>
      <c r="H1150">
        <v>-8000</v>
      </c>
      <c r="I1150">
        <v>-8000</v>
      </c>
    </row>
    <row r="1151" spans="1:9" x14ac:dyDescent="0.3">
      <c r="A1151" s="48" t="s">
        <v>43</v>
      </c>
      <c r="C1151">
        <v>-3000</v>
      </c>
      <c r="D1151">
        <v>3000</v>
      </c>
      <c r="E1151">
        <v>-9000</v>
      </c>
      <c r="F1151">
        <v>13000</v>
      </c>
      <c r="G1151">
        <v>-9000</v>
      </c>
      <c r="H1151">
        <v>-9000</v>
      </c>
      <c r="I1151">
        <v>-9000</v>
      </c>
    </row>
    <row r="1152" spans="1:9" x14ac:dyDescent="0.3">
      <c r="A1152" s="48" t="s">
        <v>44</v>
      </c>
      <c r="C1152">
        <v>-2000</v>
      </c>
      <c r="D1152">
        <v>2000</v>
      </c>
      <c r="E1152">
        <v>-10000</v>
      </c>
      <c r="F1152">
        <v>12000</v>
      </c>
      <c r="G1152">
        <v>-10000</v>
      </c>
      <c r="H1152">
        <v>-10000</v>
      </c>
      <c r="I1152">
        <v>-10000</v>
      </c>
    </row>
    <row r="1153" spans="1:9" x14ac:dyDescent="0.3">
      <c r="A1153" s="48" t="s">
        <v>54</v>
      </c>
      <c r="C1153">
        <v>-1000</v>
      </c>
      <c r="D1153">
        <v>1000</v>
      </c>
      <c r="E1153">
        <v>-11000</v>
      </c>
      <c r="F1153">
        <v>11000</v>
      </c>
      <c r="G1153">
        <v>-11000</v>
      </c>
      <c r="H1153">
        <v>-11000</v>
      </c>
      <c r="I1153">
        <v>-11000</v>
      </c>
    </row>
    <row r="1154" spans="1:9" x14ac:dyDescent="0.3">
      <c r="A1154" s="48" t="s">
        <v>55</v>
      </c>
      <c r="C1154">
        <v>0</v>
      </c>
      <c r="D1154">
        <v>0</v>
      </c>
      <c r="E1154">
        <v>-12000</v>
      </c>
      <c r="F1154">
        <v>10000</v>
      </c>
      <c r="G1154">
        <v>-12000</v>
      </c>
      <c r="H1154">
        <v>-12000</v>
      </c>
      <c r="I1154">
        <v>-12000</v>
      </c>
    </row>
    <row r="1155" spans="1:9" x14ac:dyDescent="0.3">
      <c r="A1155" s="48" t="s">
        <v>56</v>
      </c>
      <c r="C1155">
        <v>1000</v>
      </c>
      <c r="D1155">
        <v>-1000</v>
      </c>
      <c r="E1155">
        <v>-13000</v>
      </c>
      <c r="F1155">
        <v>9000</v>
      </c>
      <c r="G1155">
        <v>-13000</v>
      </c>
      <c r="H1155">
        <v>-13000</v>
      </c>
      <c r="I1155">
        <v>-13000</v>
      </c>
    </row>
    <row r="1156" spans="1:9" x14ac:dyDescent="0.3">
      <c r="A1156" s="48" t="s">
        <v>57</v>
      </c>
      <c r="C1156">
        <v>2000</v>
      </c>
      <c r="D1156">
        <v>-2000</v>
      </c>
      <c r="E1156">
        <v>-14000</v>
      </c>
      <c r="F1156">
        <v>8000</v>
      </c>
      <c r="G1156">
        <v>-14000</v>
      </c>
      <c r="H1156">
        <v>-14000</v>
      </c>
      <c r="I1156">
        <v>-14000</v>
      </c>
    </row>
    <row r="1157" spans="1:9" x14ac:dyDescent="0.3">
      <c r="A1157" s="48" t="s">
        <v>58</v>
      </c>
      <c r="C1157">
        <v>3000</v>
      </c>
      <c r="D1157">
        <v>-3000</v>
      </c>
      <c r="E1157">
        <v>-15000</v>
      </c>
      <c r="F1157">
        <v>7000</v>
      </c>
      <c r="G1157">
        <v>-15000</v>
      </c>
      <c r="H1157">
        <v>-15000</v>
      </c>
      <c r="I1157">
        <v>-15000</v>
      </c>
    </row>
    <row r="1158" spans="1:9" x14ac:dyDescent="0.3">
      <c r="A1158" s="15" t="s">
        <v>59</v>
      </c>
    </row>
    <row r="1159" spans="1:9" x14ac:dyDescent="0.3">
      <c r="A1159" s="48" t="s">
        <v>35</v>
      </c>
      <c r="C1159">
        <v>-7000</v>
      </c>
      <c r="D1159">
        <v>8000</v>
      </c>
      <c r="E1159">
        <v>-7000</v>
      </c>
      <c r="F1159">
        <v>15000</v>
      </c>
      <c r="G1159">
        <v>-7000</v>
      </c>
      <c r="H1159">
        <v>-7000</v>
      </c>
      <c r="I1159">
        <v>-7000</v>
      </c>
    </row>
    <row r="1160" spans="1:9" x14ac:dyDescent="0.3">
      <c r="A1160" s="48" t="s">
        <v>41</v>
      </c>
      <c r="C1160">
        <v>-6000</v>
      </c>
      <c r="D1160">
        <v>7000</v>
      </c>
      <c r="E1160">
        <v>-8000</v>
      </c>
      <c r="F1160">
        <v>14000</v>
      </c>
      <c r="G1160">
        <v>-8000</v>
      </c>
      <c r="H1160">
        <v>-8000</v>
      </c>
      <c r="I1160">
        <v>-8000</v>
      </c>
    </row>
    <row r="1161" spans="1:9" x14ac:dyDescent="0.3">
      <c r="A1161" s="48" t="s">
        <v>42</v>
      </c>
      <c r="C1161">
        <v>-5000</v>
      </c>
      <c r="D1161">
        <v>6000</v>
      </c>
      <c r="E1161">
        <v>-9000</v>
      </c>
      <c r="F1161">
        <v>13000</v>
      </c>
      <c r="G1161">
        <v>-9000</v>
      </c>
      <c r="H1161">
        <v>-9000</v>
      </c>
      <c r="I1161">
        <v>-9000</v>
      </c>
    </row>
    <row r="1162" spans="1:9" x14ac:dyDescent="0.3">
      <c r="A1162" s="48" t="s">
        <v>43</v>
      </c>
      <c r="C1162">
        <v>-4000</v>
      </c>
      <c r="D1162">
        <v>5000</v>
      </c>
      <c r="E1162">
        <v>-10000</v>
      </c>
      <c r="F1162">
        <v>12000</v>
      </c>
      <c r="G1162">
        <v>-10000</v>
      </c>
      <c r="H1162">
        <v>-10000</v>
      </c>
      <c r="I1162">
        <v>-10000</v>
      </c>
    </row>
    <row r="1163" spans="1:9" x14ac:dyDescent="0.3">
      <c r="A1163" s="48" t="s">
        <v>44</v>
      </c>
      <c r="C1163">
        <v>-3000</v>
      </c>
      <c r="D1163">
        <v>4000</v>
      </c>
      <c r="E1163">
        <v>-11000</v>
      </c>
      <c r="F1163">
        <v>11000</v>
      </c>
      <c r="G1163">
        <v>-11000</v>
      </c>
      <c r="H1163">
        <v>-11000</v>
      </c>
      <c r="I1163">
        <v>-11000</v>
      </c>
    </row>
    <row r="1164" spans="1:9" x14ac:dyDescent="0.3">
      <c r="A1164" s="48" t="s">
        <v>54</v>
      </c>
      <c r="C1164">
        <v>-2000</v>
      </c>
      <c r="D1164">
        <v>3000</v>
      </c>
      <c r="E1164">
        <v>-12000</v>
      </c>
      <c r="F1164">
        <v>10000</v>
      </c>
      <c r="G1164">
        <v>-12000</v>
      </c>
      <c r="H1164">
        <v>-12000</v>
      </c>
      <c r="I1164">
        <v>-12000</v>
      </c>
    </row>
    <row r="1165" spans="1:9" x14ac:dyDescent="0.3">
      <c r="A1165" s="48" t="s">
        <v>55</v>
      </c>
      <c r="C1165">
        <v>-1000</v>
      </c>
      <c r="D1165">
        <v>2000</v>
      </c>
      <c r="E1165">
        <v>-13000</v>
      </c>
      <c r="F1165">
        <v>9000</v>
      </c>
      <c r="G1165">
        <v>-13000</v>
      </c>
      <c r="H1165">
        <v>-13000</v>
      </c>
      <c r="I1165">
        <v>-13000</v>
      </c>
    </row>
    <row r="1166" spans="1:9" x14ac:dyDescent="0.3">
      <c r="A1166" s="48" t="s">
        <v>56</v>
      </c>
      <c r="C1166">
        <v>0</v>
      </c>
      <c r="D1166">
        <v>1000</v>
      </c>
      <c r="E1166">
        <v>-14000</v>
      </c>
      <c r="F1166">
        <v>8000</v>
      </c>
      <c r="G1166">
        <v>-14000</v>
      </c>
      <c r="H1166">
        <v>-14000</v>
      </c>
      <c r="I1166">
        <v>-14000</v>
      </c>
    </row>
    <row r="1167" spans="1:9" x14ac:dyDescent="0.3">
      <c r="A1167" s="48" t="s">
        <v>57</v>
      </c>
      <c r="C1167">
        <v>1000</v>
      </c>
      <c r="D1167">
        <v>0</v>
      </c>
      <c r="E1167">
        <v>-15000</v>
      </c>
      <c r="F1167">
        <v>7000</v>
      </c>
      <c r="G1167">
        <v>-15000</v>
      </c>
      <c r="H1167">
        <v>-15000</v>
      </c>
      <c r="I1167">
        <v>-15000</v>
      </c>
    </row>
    <row r="1168" spans="1:9" x14ac:dyDescent="0.3">
      <c r="A1168" s="48" t="s">
        <v>58</v>
      </c>
      <c r="C1168">
        <v>2000</v>
      </c>
      <c r="D1168">
        <v>-1000</v>
      </c>
      <c r="E1168">
        <v>-16000</v>
      </c>
      <c r="F1168">
        <v>6000</v>
      </c>
      <c r="G1168">
        <v>-16000</v>
      </c>
      <c r="H1168">
        <v>-16000</v>
      </c>
      <c r="I1168">
        <v>-16000</v>
      </c>
    </row>
    <row r="1169" spans="1:9" x14ac:dyDescent="0.3">
      <c r="A1169" s="15" t="s">
        <v>60</v>
      </c>
    </row>
    <row r="1170" spans="1:9" x14ac:dyDescent="0.3">
      <c r="A1170" s="48" t="s">
        <v>35</v>
      </c>
      <c r="C1170">
        <v>-8000</v>
      </c>
      <c r="D1170">
        <v>10000</v>
      </c>
      <c r="E1170">
        <v>-8000</v>
      </c>
      <c r="F1170">
        <v>14000</v>
      </c>
      <c r="G1170">
        <v>-8000</v>
      </c>
      <c r="H1170">
        <v>-8000</v>
      </c>
      <c r="I1170">
        <v>-8000</v>
      </c>
    </row>
    <row r="1171" spans="1:9" x14ac:dyDescent="0.3">
      <c r="A1171" s="48" t="s">
        <v>41</v>
      </c>
      <c r="C1171">
        <v>-7000</v>
      </c>
      <c r="D1171">
        <v>9000</v>
      </c>
      <c r="E1171">
        <v>-9000</v>
      </c>
      <c r="F1171">
        <v>13000</v>
      </c>
      <c r="G1171">
        <v>-9000</v>
      </c>
      <c r="H1171">
        <v>-9000</v>
      </c>
      <c r="I1171">
        <v>-9000</v>
      </c>
    </row>
    <row r="1172" spans="1:9" x14ac:dyDescent="0.3">
      <c r="A1172" s="48" t="s">
        <v>42</v>
      </c>
      <c r="C1172">
        <v>-6000</v>
      </c>
      <c r="D1172">
        <v>8000</v>
      </c>
      <c r="E1172">
        <v>-10000</v>
      </c>
      <c r="F1172">
        <v>12000</v>
      </c>
      <c r="G1172">
        <v>-10000</v>
      </c>
      <c r="H1172">
        <v>-10000</v>
      </c>
      <c r="I1172">
        <v>-10000</v>
      </c>
    </row>
    <row r="1173" spans="1:9" x14ac:dyDescent="0.3">
      <c r="A1173" s="48" t="s">
        <v>43</v>
      </c>
      <c r="C1173">
        <v>-5000</v>
      </c>
      <c r="D1173">
        <v>7000</v>
      </c>
      <c r="E1173">
        <v>-11000</v>
      </c>
      <c r="F1173">
        <v>11000</v>
      </c>
      <c r="G1173">
        <v>-11000</v>
      </c>
      <c r="H1173">
        <v>-11000</v>
      </c>
      <c r="I1173">
        <v>-11000</v>
      </c>
    </row>
    <row r="1174" spans="1:9" x14ac:dyDescent="0.3">
      <c r="A1174" s="48" t="s">
        <v>44</v>
      </c>
      <c r="C1174">
        <v>-4000</v>
      </c>
      <c r="D1174">
        <v>6000</v>
      </c>
      <c r="E1174">
        <v>-12000</v>
      </c>
      <c r="F1174">
        <v>10000</v>
      </c>
      <c r="G1174">
        <v>-12000</v>
      </c>
      <c r="H1174">
        <v>-12000</v>
      </c>
      <c r="I1174">
        <v>-12000</v>
      </c>
    </row>
    <row r="1175" spans="1:9" x14ac:dyDescent="0.3">
      <c r="A1175" s="48" t="s">
        <v>54</v>
      </c>
      <c r="C1175">
        <v>-3000</v>
      </c>
      <c r="D1175">
        <v>5000</v>
      </c>
      <c r="E1175">
        <v>-13000</v>
      </c>
      <c r="F1175">
        <v>9000</v>
      </c>
      <c r="G1175">
        <v>-13000</v>
      </c>
      <c r="H1175">
        <v>-13000</v>
      </c>
      <c r="I1175">
        <v>-13000</v>
      </c>
    </row>
    <row r="1176" spans="1:9" x14ac:dyDescent="0.3">
      <c r="A1176" s="48" t="s">
        <v>55</v>
      </c>
      <c r="C1176">
        <v>-2000</v>
      </c>
      <c r="D1176">
        <v>4000</v>
      </c>
      <c r="E1176">
        <v>-14000</v>
      </c>
      <c r="F1176">
        <v>8000</v>
      </c>
      <c r="G1176">
        <v>-14000</v>
      </c>
      <c r="H1176">
        <v>-14000</v>
      </c>
      <c r="I1176">
        <v>-14000</v>
      </c>
    </row>
    <row r="1177" spans="1:9" x14ac:dyDescent="0.3">
      <c r="A1177" s="48" t="s">
        <v>56</v>
      </c>
      <c r="C1177">
        <v>-1000</v>
      </c>
      <c r="D1177">
        <v>3000</v>
      </c>
      <c r="E1177">
        <v>-15000</v>
      </c>
      <c r="F1177">
        <v>7000</v>
      </c>
      <c r="G1177">
        <v>-15000</v>
      </c>
      <c r="H1177">
        <v>-15000</v>
      </c>
      <c r="I1177">
        <v>-15000</v>
      </c>
    </row>
    <row r="1178" spans="1:9" x14ac:dyDescent="0.3">
      <c r="A1178" s="48" t="s">
        <v>57</v>
      </c>
      <c r="C1178">
        <v>0</v>
      </c>
      <c r="D1178">
        <v>2000</v>
      </c>
      <c r="E1178">
        <v>-16000</v>
      </c>
      <c r="F1178">
        <v>6000</v>
      </c>
      <c r="G1178">
        <v>-16000</v>
      </c>
      <c r="H1178">
        <v>-16000</v>
      </c>
      <c r="I1178">
        <v>-16000</v>
      </c>
    </row>
    <row r="1179" spans="1:9" x14ac:dyDescent="0.3">
      <c r="A1179" s="48" t="s">
        <v>58</v>
      </c>
      <c r="C1179">
        <v>1000</v>
      </c>
      <c r="D1179">
        <v>1000</v>
      </c>
      <c r="E1179">
        <v>-17000</v>
      </c>
      <c r="F1179">
        <v>5000</v>
      </c>
      <c r="G1179">
        <v>-17000</v>
      </c>
      <c r="H1179">
        <v>-17000</v>
      </c>
      <c r="I1179">
        <v>-17000</v>
      </c>
    </row>
    <row r="1180" spans="1:9" x14ac:dyDescent="0.3">
      <c r="A1180" s="15" t="s">
        <v>61</v>
      </c>
    </row>
    <row r="1181" spans="1:9" x14ac:dyDescent="0.3">
      <c r="A1181" s="48" t="s">
        <v>35</v>
      </c>
      <c r="C1181">
        <v>-9000</v>
      </c>
      <c r="D1181">
        <v>12000</v>
      </c>
      <c r="E1181">
        <v>-9000</v>
      </c>
      <c r="F1181">
        <v>13000</v>
      </c>
      <c r="G1181">
        <v>-9000</v>
      </c>
      <c r="H1181">
        <v>-9000</v>
      </c>
      <c r="I1181">
        <v>-9000</v>
      </c>
    </row>
    <row r="1182" spans="1:9" x14ac:dyDescent="0.3">
      <c r="A1182" s="48" t="s">
        <v>41</v>
      </c>
      <c r="C1182">
        <v>-8000</v>
      </c>
      <c r="D1182">
        <v>11000</v>
      </c>
      <c r="E1182">
        <v>-10000</v>
      </c>
      <c r="F1182">
        <v>12000</v>
      </c>
      <c r="G1182">
        <v>-10000</v>
      </c>
      <c r="H1182">
        <v>-10000</v>
      </c>
      <c r="I1182">
        <v>-10000</v>
      </c>
    </row>
    <row r="1183" spans="1:9" x14ac:dyDescent="0.3">
      <c r="A1183" s="48" t="s">
        <v>42</v>
      </c>
      <c r="C1183">
        <v>-7000</v>
      </c>
      <c r="D1183">
        <v>10000</v>
      </c>
      <c r="E1183">
        <v>-11000</v>
      </c>
      <c r="F1183">
        <v>11000</v>
      </c>
      <c r="G1183">
        <v>-11000</v>
      </c>
      <c r="H1183">
        <v>-11000</v>
      </c>
      <c r="I1183">
        <v>-11000</v>
      </c>
    </row>
    <row r="1184" spans="1:9" x14ac:dyDescent="0.3">
      <c r="A1184" s="48" t="s">
        <v>43</v>
      </c>
      <c r="C1184">
        <v>-6000</v>
      </c>
      <c r="D1184">
        <v>9000</v>
      </c>
      <c r="E1184">
        <v>-12000</v>
      </c>
      <c r="F1184">
        <v>10000</v>
      </c>
      <c r="G1184">
        <v>-12000</v>
      </c>
      <c r="H1184">
        <v>-12000</v>
      </c>
      <c r="I1184">
        <v>-12000</v>
      </c>
    </row>
    <row r="1185" spans="1:9" x14ac:dyDescent="0.3">
      <c r="A1185" s="48" t="s">
        <v>44</v>
      </c>
      <c r="C1185">
        <v>-5000</v>
      </c>
      <c r="D1185">
        <v>8000</v>
      </c>
      <c r="E1185">
        <v>-13000</v>
      </c>
      <c r="F1185">
        <v>9000</v>
      </c>
      <c r="G1185">
        <v>-13000</v>
      </c>
      <c r="H1185">
        <v>-13000</v>
      </c>
      <c r="I1185">
        <v>-13000</v>
      </c>
    </row>
    <row r="1186" spans="1:9" x14ac:dyDescent="0.3">
      <c r="A1186" s="48" t="s">
        <v>54</v>
      </c>
      <c r="C1186">
        <v>-4000</v>
      </c>
      <c r="D1186">
        <v>7000</v>
      </c>
      <c r="E1186">
        <v>-14000</v>
      </c>
      <c r="F1186">
        <v>8000</v>
      </c>
      <c r="G1186">
        <v>-14000</v>
      </c>
      <c r="H1186">
        <v>-14000</v>
      </c>
      <c r="I1186">
        <v>-14000</v>
      </c>
    </row>
    <row r="1187" spans="1:9" x14ac:dyDescent="0.3">
      <c r="A1187" s="48" t="s">
        <v>55</v>
      </c>
      <c r="C1187">
        <v>-3000</v>
      </c>
      <c r="D1187">
        <v>6000</v>
      </c>
      <c r="E1187">
        <v>-15000</v>
      </c>
      <c r="F1187">
        <v>7000</v>
      </c>
      <c r="G1187">
        <v>-15000</v>
      </c>
      <c r="H1187">
        <v>-15000</v>
      </c>
      <c r="I1187">
        <v>-15000</v>
      </c>
    </row>
    <row r="1188" spans="1:9" x14ac:dyDescent="0.3">
      <c r="A1188" s="48" t="s">
        <v>56</v>
      </c>
      <c r="C1188">
        <v>-2000</v>
      </c>
      <c r="D1188">
        <v>5000</v>
      </c>
      <c r="E1188">
        <v>-16000</v>
      </c>
      <c r="F1188">
        <v>6000</v>
      </c>
      <c r="G1188">
        <v>-16000</v>
      </c>
      <c r="H1188">
        <v>-16000</v>
      </c>
      <c r="I1188">
        <v>-16000</v>
      </c>
    </row>
    <row r="1189" spans="1:9" x14ac:dyDescent="0.3">
      <c r="A1189" s="48" t="s">
        <v>57</v>
      </c>
      <c r="C1189">
        <v>-1000</v>
      </c>
      <c r="D1189">
        <v>4000</v>
      </c>
      <c r="E1189">
        <v>-17000</v>
      </c>
      <c r="F1189">
        <v>5000</v>
      </c>
      <c r="G1189">
        <v>-17000</v>
      </c>
      <c r="H1189">
        <v>-17000</v>
      </c>
      <c r="I1189">
        <v>-17000</v>
      </c>
    </row>
    <row r="1190" spans="1:9" x14ac:dyDescent="0.3">
      <c r="A1190" s="48" t="s">
        <v>58</v>
      </c>
      <c r="C1190">
        <v>0</v>
      </c>
      <c r="D1190">
        <v>3000</v>
      </c>
      <c r="E1190">
        <v>-18000</v>
      </c>
      <c r="F1190">
        <v>4000</v>
      </c>
      <c r="G1190">
        <v>-18000</v>
      </c>
      <c r="H1190">
        <v>-18000</v>
      </c>
      <c r="I1190">
        <v>-18000</v>
      </c>
    </row>
    <row r="1191" spans="1:9" x14ac:dyDescent="0.3">
      <c r="A1191" s="15" t="s">
        <v>62</v>
      </c>
    </row>
    <row r="1192" spans="1:9" x14ac:dyDescent="0.3">
      <c r="A1192" s="48" t="s">
        <v>35</v>
      </c>
      <c r="C1192">
        <v>-10000</v>
      </c>
      <c r="D1192">
        <v>14000</v>
      </c>
      <c r="E1192">
        <v>-10000</v>
      </c>
      <c r="F1192">
        <v>12000</v>
      </c>
      <c r="G1192">
        <v>-10000</v>
      </c>
      <c r="H1192">
        <v>-10000</v>
      </c>
      <c r="I1192">
        <v>-10000</v>
      </c>
    </row>
    <row r="1193" spans="1:9" x14ac:dyDescent="0.3">
      <c r="A1193" s="48" t="s">
        <v>41</v>
      </c>
      <c r="C1193">
        <v>-9000</v>
      </c>
      <c r="D1193">
        <v>13000</v>
      </c>
      <c r="E1193">
        <v>-11000</v>
      </c>
      <c r="F1193">
        <v>11000</v>
      </c>
      <c r="G1193">
        <v>-11000</v>
      </c>
      <c r="H1193">
        <v>-11000</v>
      </c>
      <c r="I1193">
        <v>-11000</v>
      </c>
    </row>
    <row r="1194" spans="1:9" x14ac:dyDescent="0.3">
      <c r="A1194" s="48" t="s">
        <v>42</v>
      </c>
      <c r="C1194">
        <v>-8000</v>
      </c>
      <c r="D1194">
        <v>12000</v>
      </c>
      <c r="E1194">
        <v>-12000</v>
      </c>
      <c r="F1194">
        <v>10000</v>
      </c>
      <c r="G1194">
        <v>-12000</v>
      </c>
      <c r="H1194">
        <v>-12000</v>
      </c>
      <c r="I1194">
        <v>-12000</v>
      </c>
    </row>
    <row r="1195" spans="1:9" x14ac:dyDescent="0.3">
      <c r="A1195" s="48" t="s">
        <v>43</v>
      </c>
      <c r="C1195">
        <v>-7000</v>
      </c>
      <c r="D1195">
        <v>11000</v>
      </c>
      <c r="E1195">
        <v>-13000</v>
      </c>
      <c r="F1195">
        <v>9000</v>
      </c>
      <c r="G1195">
        <v>-13000</v>
      </c>
      <c r="H1195">
        <v>-13000</v>
      </c>
      <c r="I1195">
        <v>-13000</v>
      </c>
    </row>
    <row r="1196" spans="1:9" x14ac:dyDescent="0.3">
      <c r="A1196" s="48" t="s">
        <v>44</v>
      </c>
      <c r="C1196">
        <v>-6000</v>
      </c>
      <c r="D1196">
        <v>10000</v>
      </c>
      <c r="E1196">
        <v>-14000</v>
      </c>
      <c r="F1196">
        <v>8000</v>
      </c>
      <c r="G1196">
        <v>-14000</v>
      </c>
      <c r="H1196">
        <v>-14000</v>
      </c>
      <c r="I1196">
        <v>-14000</v>
      </c>
    </row>
    <row r="1197" spans="1:9" x14ac:dyDescent="0.3">
      <c r="A1197" s="48" t="s">
        <v>54</v>
      </c>
      <c r="C1197">
        <v>-5000</v>
      </c>
      <c r="D1197">
        <v>9000</v>
      </c>
      <c r="E1197">
        <v>-15000</v>
      </c>
      <c r="F1197">
        <v>7000</v>
      </c>
      <c r="G1197">
        <v>-15000</v>
      </c>
      <c r="H1197">
        <v>-15000</v>
      </c>
      <c r="I1197">
        <v>-15000</v>
      </c>
    </row>
    <row r="1198" spans="1:9" x14ac:dyDescent="0.3">
      <c r="A1198" s="48" t="s">
        <v>55</v>
      </c>
      <c r="C1198">
        <v>-4000</v>
      </c>
      <c r="D1198">
        <v>8000</v>
      </c>
      <c r="E1198">
        <v>-16000</v>
      </c>
      <c r="F1198">
        <v>6000</v>
      </c>
      <c r="G1198">
        <v>-16000</v>
      </c>
      <c r="H1198">
        <v>-16000</v>
      </c>
      <c r="I1198">
        <v>-16000</v>
      </c>
    </row>
    <row r="1199" spans="1:9" x14ac:dyDescent="0.3">
      <c r="A1199" s="48" t="s">
        <v>56</v>
      </c>
      <c r="C1199">
        <v>-3000</v>
      </c>
      <c r="D1199">
        <v>7000</v>
      </c>
      <c r="E1199">
        <v>-17000</v>
      </c>
      <c r="F1199">
        <v>5000</v>
      </c>
      <c r="G1199">
        <v>-17000</v>
      </c>
      <c r="H1199">
        <v>-17000</v>
      </c>
      <c r="I1199">
        <v>-17000</v>
      </c>
    </row>
    <row r="1200" spans="1:9" x14ac:dyDescent="0.3">
      <c r="A1200" s="48" t="s">
        <v>57</v>
      </c>
      <c r="C1200">
        <v>-2000</v>
      </c>
      <c r="D1200">
        <v>6000</v>
      </c>
      <c r="E1200">
        <v>-18000</v>
      </c>
      <c r="F1200">
        <v>4000</v>
      </c>
      <c r="G1200">
        <v>-18000</v>
      </c>
      <c r="H1200">
        <v>-18000</v>
      </c>
      <c r="I1200">
        <v>-18000</v>
      </c>
    </row>
    <row r="1201" spans="1:9" x14ac:dyDescent="0.3">
      <c r="A1201" s="48" t="s">
        <v>58</v>
      </c>
      <c r="C1201">
        <v>-1000</v>
      </c>
      <c r="D1201">
        <v>5000</v>
      </c>
      <c r="E1201">
        <v>-19000</v>
      </c>
      <c r="F1201">
        <v>3000</v>
      </c>
      <c r="G1201">
        <v>-19000</v>
      </c>
      <c r="H1201">
        <v>-19000</v>
      </c>
      <c r="I1201">
        <v>-19000</v>
      </c>
    </row>
    <row r="1202" spans="1:9" x14ac:dyDescent="0.3">
      <c r="A1202" s="15" t="s">
        <v>63</v>
      </c>
    </row>
    <row r="1203" spans="1:9" x14ac:dyDescent="0.3">
      <c r="A1203" s="48" t="s">
        <v>35</v>
      </c>
      <c r="C1203">
        <v>-11000</v>
      </c>
      <c r="D1203">
        <v>16000</v>
      </c>
      <c r="E1203">
        <v>-11000</v>
      </c>
      <c r="F1203">
        <v>11000</v>
      </c>
      <c r="G1203">
        <v>-11000</v>
      </c>
      <c r="H1203">
        <v>-11000</v>
      </c>
      <c r="I1203">
        <v>-11000</v>
      </c>
    </row>
    <row r="1204" spans="1:9" x14ac:dyDescent="0.3">
      <c r="A1204" s="48" t="s">
        <v>41</v>
      </c>
      <c r="C1204">
        <v>-10000</v>
      </c>
      <c r="D1204">
        <v>15000</v>
      </c>
      <c r="E1204">
        <v>-12000</v>
      </c>
      <c r="F1204">
        <v>10000</v>
      </c>
      <c r="G1204">
        <v>-12000</v>
      </c>
      <c r="H1204">
        <v>-12000</v>
      </c>
      <c r="I1204">
        <v>-12000</v>
      </c>
    </row>
    <row r="1205" spans="1:9" x14ac:dyDescent="0.3">
      <c r="A1205" s="48" t="s">
        <v>42</v>
      </c>
      <c r="C1205">
        <v>-9000</v>
      </c>
      <c r="D1205">
        <v>14000</v>
      </c>
      <c r="E1205">
        <v>-13000</v>
      </c>
      <c r="F1205">
        <v>9000</v>
      </c>
      <c r="G1205">
        <v>-13000</v>
      </c>
      <c r="H1205">
        <v>-13000</v>
      </c>
      <c r="I1205">
        <v>-13000</v>
      </c>
    </row>
    <row r="1206" spans="1:9" x14ac:dyDescent="0.3">
      <c r="A1206" s="48" t="s">
        <v>43</v>
      </c>
      <c r="C1206">
        <v>-8000</v>
      </c>
      <c r="D1206">
        <v>13000</v>
      </c>
      <c r="E1206">
        <v>-14000</v>
      </c>
      <c r="F1206">
        <v>8000</v>
      </c>
      <c r="G1206">
        <v>-14000</v>
      </c>
      <c r="H1206">
        <v>-14000</v>
      </c>
      <c r="I1206">
        <v>-14000</v>
      </c>
    </row>
    <row r="1207" spans="1:9" x14ac:dyDescent="0.3">
      <c r="A1207" s="48" t="s">
        <v>44</v>
      </c>
      <c r="C1207">
        <v>-7000</v>
      </c>
      <c r="D1207">
        <v>12000</v>
      </c>
      <c r="E1207">
        <v>-15000</v>
      </c>
      <c r="F1207">
        <v>7000</v>
      </c>
      <c r="G1207">
        <v>-15000</v>
      </c>
      <c r="H1207">
        <v>-15000</v>
      </c>
      <c r="I1207">
        <v>-15000</v>
      </c>
    </row>
    <row r="1208" spans="1:9" x14ac:dyDescent="0.3">
      <c r="A1208" s="48" t="s">
        <v>54</v>
      </c>
      <c r="C1208">
        <v>-6000</v>
      </c>
      <c r="D1208">
        <v>11000</v>
      </c>
      <c r="E1208">
        <v>-16000</v>
      </c>
      <c r="F1208">
        <v>6000</v>
      </c>
      <c r="G1208">
        <v>-16000</v>
      </c>
      <c r="H1208">
        <v>-16000</v>
      </c>
      <c r="I1208">
        <v>-16000</v>
      </c>
    </row>
    <row r="1209" spans="1:9" x14ac:dyDescent="0.3">
      <c r="A1209" s="48" t="s">
        <v>55</v>
      </c>
      <c r="C1209">
        <v>-5000</v>
      </c>
      <c r="D1209">
        <v>10000</v>
      </c>
      <c r="E1209">
        <v>-17000</v>
      </c>
      <c r="F1209">
        <v>5000</v>
      </c>
      <c r="G1209">
        <v>-17000</v>
      </c>
      <c r="H1209">
        <v>-17000</v>
      </c>
      <c r="I1209">
        <v>-17000</v>
      </c>
    </row>
    <row r="1210" spans="1:9" x14ac:dyDescent="0.3">
      <c r="A1210" s="48" t="s">
        <v>56</v>
      </c>
      <c r="C1210">
        <v>-4000</v>
      </c>
      <c r="D1210">
        <v>9000</v>
      </c>
      <c r="E1210">
        <v>-18000</v>
      </c>
      <c r="F1210">
        <v>4000</v>
      </c>
      <c r="G1210">
        <v>-18000</v>
      </c>
      <c r="H1210">
        <v>-18000</v>
      </c>
      <c r="I1210">
        <v>-18000</v>
      </c>
    </row>
    <row r="1211" spans="1:9" x14ac:dyDescent="0.3">
      <c r="A1211" s="48" t="s">
        <v>57</v>
      </c>
      <c r="C1211">
        <v>-3000</v>
      </c>
      <c r="D1211">
        <v>8000</v>
      </c>
      <c r="E1211">
        <v>-19000</v>
      </c>
      <c r="F1211">
        <v>3000</v>
      </c>
      <c r="G1211">
        <v>-19000</v>
      </c>
      <c r="H1211">
        <v>-19000</v>
      </c>
      <c r="I1211">
        <v>-19000</v>
      </c>
    </row>
    <row r="1212" spans="1:9" x14ac:dyDescent="0.3">
      <c r="A1212" s="48" t="s">
        <v>58</v>
      </c>
      <c r="C1212">
        <v>-2000</v>
      </c>
      <c r="D1212">
        <v>7000</v>
      </c>
      <c r="E1212">
        <v>-20000</v>
      </c>
      <c r="F1212">
        <v>2000</v>
      </c>
      <c r="G1212">
        <v>-20000</v>
      </c>
      <c r="H1212">
        <v>-20000</v>
      </c>
      <c r="I1212">
        <v>-20000</v>
      </c>
    </row>
    <row r="1213" spans="1:9" x14ac:dyDescent="0.3">
      <c r="A1213" s="14" t="s">
        <v>49</v>
      </c>
    </row>
    <row r="1214" spans="1:9" x14ac:dyDescent="0.3">
      <c r="A1214" s="15" t="s">
        <v>34</v>
      </c>
    </row>
    <row r="1215" spans="1:9" x14ac:dyDescent="0.3">
      <c r="A1215" s="48" t="s">
        <v>35</v>
      </c>
      <c r="C1215">
        <v>-3000</v>
      </c>
      <c r="D1215">
        <v>-3000</v>
      </c>
      <c r="E1215">
        <v>3000</v>
      </c>
      <c r="F1215">
        <v>19000</v>
      </c>
      <c r="G1215">
        <v>-3000</v>
      </c>
      <c r="H1215">
        <v>-3000</v>
      </c>
      <c r="I1215">
        <v>-3000</v>
      </c>
    </row>
    <row r="1216" spans="1:9" x14ac:dyDescent="0.3">
      <c r="A1216" s="48" t="s">
        <v>41</v>
      </c>
      <c r="C1216">
        <v>-2000</v>
      </c>
      <c r="D1216">
        <v>-4000</v>
      </c>
      <c r="E1216">
        <v>2000</v>
      </c>
      <c r="F1216">
        <v>18000</v>
      </c>
      <c r="G1216">
        <v>-4000</v>
      </c>
      <c r="H1216">
        <v>-4000</v>
      </c>
      <c r="I1216">
        <v>-4000</v>
      </c>
    </row>
    <row r="1217" spans="1:9" x14ac:dyDescent="0.3">
      <c r="A1217" s="48" t="s">
        <v>42</v>
      </c>
      <c r="C1217">
        <v>-1000</v>
      </c>
      <c r="D1217">
        <v>-5000</v>
      </c>
      <c r="E1217">
        <v>1000</v>
      </c>
      <c r="F1217">
        <v>17000</v>
      </c>
      <c r="G1217">
        <v>-5000</v>
      </c>
      <c r="H1217">
        <v>-5000</v>
      </c>
      <c r="I1217">
        <v>-5000</v>
      </c>
    </row>
    <row r="1218" spans="1:9" x14ac:dyDescent="0.3">
      <c r="A1218" s="48" t="s">
        <v>43</v>
      </c>
      <c r="C1218">
        <v>0</v>
      </c>
      <c r="D1218">
        <v>-6000</v>
      </c>
      <c r="E1218">
        <v>0</v>
      </c>
      <c r="F1218">
        <v>16000</v>
      </c>
      <c r="G1218">
        <v>-6000</v>
      </c>
      <c r="H1218">
        <v>-6000</v>
      </c>
      <c r="I1218">
        <v>-6000</v>
      </c>
    </row>
    <row r="1219" spans="1:9" x14ac:dyDescent="0.3">
      <c r="A1219" s="48" t="s">
        <v>44</v>
      </c>
      <c r="C1219">
        <v>1000</v>
      </c>
      <c r="D1219">
        <v>-7000</v>
      </c>
      <c r="E1219">
        <v>-1000</v>
      </c>
      <c r="F1219">
        <v>15000</v>
      </c>
      <c r="G1219">
        <v>-7000</v>
      </c>
      <c r="H1219">
        <v>-7000</v>
      </c>
      <c r="I1219">
        <v>-7000</v>
      </c>
    </row>
    <row r="1220" spans="1:9" x14ac:dyDescent="0.3">
      <c r="A1220" s="48" t="s">
        <v>54</v>
      </c>
      <c r="C1220">
        <v>2000</v>
      </c>
      <c r="D1220">
        <v>-8000</v>
      </c>
      <c r="E1220">
        <v>-2000</v>
      </c>
      <c r="F1220">
        <v>14000</v>
      </c>
      <c r="G1220">
        <v>-8000</v>
      </c>
      <c r="H1220">
        <v>-8000</v>
      </c>
      <c r="I1220">
        <v>-8000</v>
      </c>
    </row>
    <row r="1221" spans="1:9" x14ac:dyDescent="0.3">
      <c r="A1221" s="48" t="s">
        <v>55</v>
      </c>
      <c r="C1221">
        <v>3000</v>
      </c>
      <c r="D1221">
        <v>-9000</v>
      </c>
      <c r="E1221">
        <v>-3000</v>
      </c>
      <c r="F1221">
        <v>13000</v>
      </c>
      <c r="G1221">
        <v>-9000</v>
      </c>
      <c r="H1221">
        <v>-9000</v>
      </c>
      <c r="I1221">
        <v>-9000</v>
      </c>
    </row>
    <row r="1222" spans="1:9" x14ac:dyDescent="0.3">
      <c r="A1222" s="48" t="s">
        <v>56</v>
      </c>
      <c r="C1222">
        <v>4000</v>
      </c>
      <c r="D1222">
        <v>-10000</v>
      </c>
      <c r="E1222">
        <v>-4000</v>
      </c>
      <c r="F1222">
        <v>12000</v>
      </c>
      <c r="G1222">
        <v>-10000</v>
      </c>
      <c r="H1222">
        <v>-10000</v>
      </c>
      <c r="I1222">
        <v>-10000</v>
      </c>
    </row>
    <row r="1223" spans="1:9" x14ac:dyDescent="0.3">
      <c r="A1223" s="48" t="s">
        <v>57</v>
      </c>
      <c r="C1223">
        <v>5000</v>
      </c>
      <c r="D1223">
        <v>-11000</v>
      </c>
      <c r="E1223">
        <v>-5000</v>
      </c>
      <c r="F1223">
        <v>11000</v>
      </c>
      <c r="G1223">
        <v>-11000</v>
      </c>
      <c r="H1223">
        <v>-11000</v>
      </c>
      <c r="I1223">
        <v>-11000</v>
      </c>
    </row>
    <row r="1224" spans="1:9" x14ac:dyDescent="0.3">
      <c r="A1224" s="48" t="s">
        <v>58</v>
      </c>
      <c r="C1224">
        <v>6000</v>
      </c>
      <c r="D1224">
        <v>-12000</v>
      </c>
      <c r="E1224">
        <v>-6000</v>
      </c>
      <c r="F1224">
        <v>10000</v>
      </c>
      <c r="G1224">
        <v>-12000</v>
      </c>
      <c r="H1224">
        <v>-12000</v>
      </c>
      <c r="I1224">
        <v>-12000</v>
      </c>
    </row>
    <row r="1225" spans="1:9" x14ac:dyDescent="0.3">
      <c r="A1225" s="15" t="s">
        <v>46</v>
      </c>
    </row>
    <row r="1226" spans="1:9" x14ac:dyDescent="0.3">
      <c r="A1226" s="48" t="s">
        <v>35</v>
      </c>
      <c r="C1226">
        <v>-5000</v>
      </c>
      <c r="D1226">
        <v>1000</v>
      </c>
      <c r="E1226">
        <v>1000</v>
      </c>
      <c r="F1226">
        <v>17000</v>
      </c>
      <c r="G1226">
        <v>-5000</v>
      </c>
      <c r="H1226">
        <v>-5000</v>
      </c>
      <c r="I1226">
        <v>-5000</v>
      </c>
    </row>
    <row r="1227" spans="1:9" x14ac:dyDescent="0.3">
      <c r="A1227" s="48" t="s">
        <v>41</v>
      </c>
      <c r="C1227">
        <v>-4000</v>
      </c>
      <c r="D1227">
        <v>0</v>
      </c>
      <c r="E1227">
        <v>0</v>
      </c>
      <c r="F1227">
        <v>16000</v>
      </c>
      <c r="G1227">
        <v>-6000</v>
      </c>
      <c r="H1227">
        <v>-6000</v>
      </c>
      <c r="I1227">
        <v>-6000</v>
      </c>
    </row>
    <row r="1228" spans="1:9" x14ac:dyDescent="0.3">
      <c r="A1228" s="48" t="s">
        <v>42</v>
      </c>
      <c r="C1228">
        <v>-3000</v>
      </c>
      <c r="D1228">
        <v>-1000</v>
      </c>
      <c r="E1228">
        <v>-1000</v>
      </c>
      <c r="F1228">
        <v>15000</v>
      </c>
      <c r="G1228">
        <v>-7000</v>
      </c>
      <c r="H1228">
        <v>-7000</v>
      </c>
      <c r="I1228">
        <v>-7000</v>
      </c>
    </row>
    <row r="1229" spans="1:9" x14ac:dyDescent="0.3">
      <c r="A1229" s="48" t="s">
        <v>43</v>
      </c>
      <c r="C1229">
        <v>-2000</v>
      </c>
      <c r="D1229">
        <v>-2000</v>
      </c>
      <c r="E1229">
        <v>-2000</v>
      </c>
      <c r="F1229">
        <v>14000</v>
      </c>
      <c r="G1229">
        <v>-8000</v>
      </c>
      <c r="H1229">
        <v>-8000</v>
      </c>
      <c r="I1229">
        <v>-8000</v>
      </c>
    </row>
    <row r="1230" spans="1:9" x14ac:dyDescent="0.3">
      <c r="A1230" s="48" t="s">
        <v>44</v>
      </c>
      <c r="C1230">
        <v>-1000</v>
      </c>
      <c r="D1230">
        <v>-3000</v>
      </c>
      <c r="E1230">
        <v>-3000</v>
      </c>
      <c r="F1230">
        <v>13000</v>
      </c>
      <c r="G1230">
        <v>-9000</v>
      </c>
      <c r="H1230">
        <v>-9000</v>
      </c>
      <c r="I1230">
        <v>-9000</v>
      </c>
    </row>
    <row r="1231" spans="1:9" x14ac:dyDescent="0.3">
      <c r="A1231" s="48" t="s">
        <v>54</v>
      </c>
      <c r="C1231">
        <v>0</v>
      </c>
      <c r="D1231">
        <v>-4000</v>
      </c>
      <c r="E1231">
        <v>-4000</v>
      </c>
      <c r="F1231">
        <v>12000</v>
      </c>
      <c r="G1231">
        <v>-10000</v>
      </c>
      <c r="H1231">
        <v>-10000</v>
      </c>
      <c r="I1231">
        <v>-10000</v>
      </c>
    </row>
    <row r="1232" spans="1:9" x14ac:dyDescent="0.3">
      <c r="A1232" s="48" t="s">
        <v>55</v>
      </c>
      <c r="C1232">
        <v>1000</v>
      </c>
      <c r="D1232">
        <v>-5000</v>
      </c>
      <c r="E1232">
        <v>-5000</v>
      </c>
      <c r="F1232">
        <v>11000</v>
      </c>
      <c r="G1232">
        <v>-11000</v>
      </c>
      <c r="H1232">
        <v>-11000</v>
      </c>
      <c r="I1232">
        <v>-11000</v>
      </c>
    </row>
    <row r="1233" spans="1:9" x14ac:dyDescent="0.3">
      <c r="A1233" s="48" t="s">
        <v>56</v>
      </c>
      <c r="C1233">
        <v>2000</v>
      </c>
      <c r="D1233">
        <v>-6000</v>
      </c>
      <c r="E1233">
        <v>-6000</v>
      </c>
      <c r="F1233">
        <v>10000</v>
      </c>
      <c r="G1233">
        <v>-12000</v>
      </c>
      <c r="H1233">
        <v>-12000</v>
      </c>
      <c r="I1233">
        <v>-12000</v>
      </c>
    </row>
    <row r="1234" spans="1:9" x14ac:dyDescent="0.3">
      <c r="A1234" s="48" t="s">
        <v>57</v>
      </c>
      <c r="C1234">
        <v>3000</v>
      </c>
      <c r="D1234">
        <v>-7000</v>
      </c>
      <c r="E1234">
        <v>-7000</v>
      </c>
      <c r="F1234">
        <v>9000</v>
      </c>
      <c r="G1234">
        <v>-13000</v>
      </c>
      <c r="H1234">
        <v>-13000</v>
      </c>
      <c r="I1234">
        <v>-13000</v>
      </c>
    </row>
    <row r="1235" spans="1:9" x14ac:dyDescent="0.3">
      <c r="A1235" s="48" t="s">
        <v>58</v>
      </c>
      <c r="C1235">
        <v>4000</v>
      </c>
      <c r="D1235">
        <v>-8000</v>
      </c>
      <c r="E1235">
        <v>-8000</v>
      </c>
      <c r="F1235">
        <v>8000</v>
      </c>
      <c r="G1235">
        <v>-14000</v>
      </c>
      <c r="H1235">
        <v>-14000</v>
      </c>
      <c r="I1235">
        <v>-14000</v>
      </c>
    </row>
    <row r="1236" spans="1:9" x14ac:dyDescent="0.3">
      <c r="A1236" s="15" t="s">
        <v>47</v>
      </c>
    </row>
    <row r="1237" spans="1:9" x14ac:dyDescent="0.3">
      <c r="A1237" s="48" t="s">
        <v>35</v>
      </c>
      <c r="C1237">
        <v>-6000</v>
      </c>
      <c r="D1237">
        <v>3000</v>
      </c>
      <c r="E1237">
        <v>0</v>
      </c>
      <c r="F1237">
        <v>16000</v>
      </c>
      <c r="G1237">
        <v>-6000</v>
      </c>
      <c r="H1237">
        <v>-6000</v>
      </c>
      <c r="I1237">
        <v>-6000</v>
      </c>
    </row>
    <row r="1238" spans="1:9" x14ac:dyDescent="0.3">
      <c r="A1238" s="48" t="s">
        <v>41</v>
      </c>
      <c r="C1238">
        <v>-5000</v>
      </c>
      <c r="D1238">
        <v>2000</v>
      </c>
      <c r="E1238">
        <v>-1000</v>
      </c>
      <c r="F1238">
        <v>15000</v>
      </c>
      <c r="G1238">
        <v>-7000</v>
      </c>
      <c r="H1238">
        <v>-7000</v>
      </c>
      <c r="I1238">
        <v>-7000</v>
      </c>
    </row>
    <row r="1239" spans="1:9" x14ac:dyDescent="0.3">
      <c r="A1239" s="48" t="s">
        <v>42</v>
      </c>
      <c r="C1239">
        <v>-4000</v>
      </c>
      <c r="D1239">
        <v>1000</v>
      </c>
      <c r="E1239">
        <v>-2000</v>
      </c>
      <c r="F1239">
        <v>14000</v>
      </c>
      <c r="G1239">
        <v>-8000</v>
      </c>
      <c r="H1239">
        <v>-8000</v>
      </c>
      <c r="I1239">
        <v>-8000</v>
      </c>
    </row>
    <row r="1240" spans="1:9" x14ac:dyDescent="0.3">
      <c r="A1240" s="48" t="s">
        <v>43</v>
      </c>
      <c r="C1240">
        <v>-3000</v>
      </c>
      <c r="D1240">
        <v>0</v>
      </c>
      <c r="E1240">
        <v>-3000</v>
      </c>
      <c r="F1240">
        <v>13000</v>
      </c>
      <c r="G1240">
        <v>-9000</v>
      </c>
      <c r="H1240">
        <v>-9000</v>
      </c>
      <c r="I1240">
        <v>-9000</v>
      </c>
    </row>
    <row r="1241" spans="1:9" x14ac:dyDescent="0.3">
      <c r="A1241" s="48" t="s">
        <v>44</v>
      </c>
      <c r="C1241">
        <v>-2000</v>
      </c>
      <c r="D1241">
        <v>-1000</v>
      </c>
      <c r="E1241">
        <v>-4000</v>
      </c>
      <c r="F1241">
        <v>12000</v>
      </c>
      <c r="G1241">
        <v>-10000</v>
      </c>
      <c r="H1241">
        <v>-10000</v>
      </c>
      <c r="I1241">
        <v>-10000</v>
      </c>
    </row>
    <row r="1242" spans="1:9" x14ac:dyDescent="0.3">
      <c r="A1242" s="48" t="s">
        <v>54</v>
      </c>
      <c r="C1242">
        <v>-1000</v>
      </c>
      <c r="D1242">
        <v>-2000</v>
      </c>
      <c r="E1242">
        <v>-5000</v>
      </c>
      <c r="F1242">
        <v>11000</v>
      </c>
      <c r="G1242">
        <v>-11000</v>
      </c>
      <c r="H1242">
        <v>-11000</v>
      </c>
      <c r="I1242">
        <v>-11000</v>
      </c>
    </row>
    <row r="1243" spans="1:9" x14ac:dyDescent="0.3">
      <c r="A1243" s="48" t="s">
        <v>55</v>
      </c>
      <c r="C1243">
        <v>0</v>
      </c>
      <c r="D1243">
        <v>-3000</v>
      </c>
      <c r="E1243">
        <v>-6000</v>
      </c>
      <c r="F1243">
        <v>10000</v>
      </c>
      <c r="G1243">
        <v>-12000</v>
      </c>
      <c r="H1243">
        <v>-12000</v>
      </c>
      <c r="I1243">
        <v>-12000</v>
      </c>
    </row>
    <row r="1244" spans="1:9" x14ac:dyDescent="0.3">
      <c r="A1244" s="48" t="s">
        <v>56</v>
      </c>
      <c r="C1244">
        <v>1000</v>
      </c>
      <c r="D1244">
        <v>-4000</v>
      </c>
      <c r="E1244">
        <v>-7000</v>
      </c>
      <c r="F1244">
        <v>9000</v>
      </c>
      <c r="G1244">
        <v>-13000</v>
      </c>
      <c r="H1244">
        <v>-13000</v>
      </c>
      <c r="I1244">
        <v>-13000</v>
      </c>
    </row>
    <row r="1245" spans="1:9" x14ac:dyDescent="0.3">
      <c r="A1245" s="48" t="s">
        <v>57</v>
      </c>
      <c r="C1245">
        <v>2000</v>
      </c>
      <c r="D1245">
        <v>-5000</v>
      </c>
      <c r="E1245">
        <v>-8000</v>
      </c>
      <c r="F1245">
        <v>8000</v>
      </c>
      <c r="G1245">
        <v>-14000</v>
      </c>
      <c r="H1245">
        <v>-14000</v>
      </c>
      <c r="I1245">
        <v>-14000</v>
      </c>
    </row>
    <row r="1246" spans="1:9" x14ac:dyDescent="0.3">
      <c r="A1246" s="48" t="s">
        <v>58</v>
      </c>
      <c r="C1246">
        <v>3000</v>
      </c>
      <c r="D1246">
        <v>-6000</v>
      </c>
      <c r="E1246">
        <v>-9000</v>
      </c>
      <c r="F1246">
        <v>7000</v>
      </c>
      <c r="G1246">
        <v>-15000</v>
      </c>
      <c r="H1246">
        <v>-15000</v>
      </c>
      <c r="I1246">
        <v>-15000</v>
      </c>
    </row>
    <row r="1247" spans="1:9" x14ac:dyDescent="0.3">
      <c r="A1247" s="15" t="s">
        <v>48</v>
      </c>
    </row>
    <row r="1248" spans="1:9" x14ac:dyDescent="0.3">
      <c r="A1248" s="48" t="s">
        <v>35</v>
      </c>
      <c r="C1248">
        <v>-7000</v>
      </c>
      <c r="D1248">
        <v>5000</v>
      </c>
      <c r="E1248">
        <v>-1000</v>
      </c>
      <c r="F1248">
        <v>15000</v>
      </c>
      <c r="G1248">
        <v>-7000</v>
      </c>
      <c r="H1248">
        <v>-7000</v>
      </c>
      <c r="I1248">
        <v>-7000</v>
      </c>
    </row>
    <row r="1249" spans="1:9" x14ac:dyDescent="0.3">
      <c r="A1249" s="48" t="s">
        <v>41</v>
      </c>
      <c r="C1249">
        <v>-6000</v>
      </c>
      <c r="D1249">
        <v>4000</v>
      </c>
      <c r="E1249">
        <v>-2000</v>
      </c>
      <c r="F1249">
        <v>14000</v>
      </c>
      <c r="G1249">
        <v>-8000</v>
      </c>
      <c r="H1249">
        <v>-8000</v>
      </c>
      <c r="I1249">
        <v>-8000</v>
      </c>
    </row>
    <row r="1250" spans="1:9" x14ac:dyDescent="0.3">
      <c r="A1250" s="48" t="s">
        <v>42</v>
      </c>
      <c r="C1250">
        <v>-5000</v>
      </c>
      <c r="D1250">
        <v>3000</v>
      </c>
      <c r="E1250">
        <v>-3000</v>
      </c>
      <c r="F1250">
        <v>13000</v>
      </c>
      <c r="G1250">
        <v>-9000</v>
      </c>
      <c r="H1250">
        <v>-9000</v>
      </c>
      <c r="I1250">
        <v>-9000</v>
      </c>
    </row>
    <row r="1251" spans="1:9" x14ac:dyDescent="0.3">
      <c r="A1251" s="48" t="s">
        <v>43</v>
      </c>
      <c r="C1251">
        <v>-4000</v>
      </c>
      <c r="D1251">
        <v>2000</v>
      </c>
      <c r="E1251">
        <v>-4000</v>
      </c>
      <c r="F1251">
        <v>12000</v>
      </c>
      <c r="G1251">
        <v>-10000</v>
      </c>
      <c r="H1251">
        <v>-10000</v>
      </c>
      <c r="I1251">
        <v>-10000</v>
      </c>
    </row>
    <row r="1252" spans="1:9" x14ac:dyDescent="0.3">
      <c r="A1252" s="48" t="s">
        <v>44</v>
      </c>
      <c r="C1252">
        <v>-3000</v>
      </c>
      <c r="D1252">
        <v>1000</v>
      </c>
      <c r="E1252">
        <v>-5000</v>
      </c>
      <c r="F1252">
        <v>11000</v>
      </c>
      <c r="G1252">
        <v>-11000</v>
      </c>
      <c r="H1252">
        <v>-11000</v>
      </c>
      <c r="I1252">
        <v>-11000</v>
      </c>
    </row>
    <row r="1253" spans="1:9" x14ac:dyDescent="0.3">
      <c r="A1253" s="48" t="s">
        <v>54</v>
      </c>
      <c r="C1253">
        <v>-2000</v>
      </c>
      <c r="D1253">
        <v>0</v>
      </c>
      <c r="E1253">
        <v>-6000</v>
      </c>
      <c r="F1253">
        <v>10000</v>
      </c>
      <c r="G1253">
        <v>-12000</v>
      </c>
      <c r="H1253">
        <v>-12000</v>
      </c>
      <c r="I1253">
        <v>-12000</v>
      </c>
    </row>
    <row r="1254" spans="1:9" x14ac:dyDescent="0.3">
      <c r="A1254" s="48" t="s">
        <v>55</v>
      </c>
      <c r="C1254">
        <v>-1000</v>
      </c>
      <c r="D1254">
        <v>-1000</v>
      </c>
      <c r="E1254">
        <v>-7000</v>
      </c>
      <c r="F1254">
        <v>9000</v>
      </c>
      <c r="G1254">
        <v>-13000</v>
      </c>
      <c r="H1254">
        <v>-13000</v>
      </c>
      <c r="I1254">
        <v>-13000</v>
      </c>
    </row>
    <row r="1255" spans="1:9" x14ac:dyDescent="0.3">
      <c r="A1255" s="48" t="s">
        <v>56</v>
      </c>
      <c r="C1255">
        <v>0</v>
      </c>
      <c r="D1255">
        <v>-2000</v>
      </c>
      <c r="E1255">
        <v>-8000</v>
      </c>
      <c r="F1255">
        <v>8000</v>
      </c>
      <c r="G1255">
        <v>-14000</v>
      </c>
      <c r="H1255">
        <v>-14000</v>
      </c>
      <c r="I1255">
        <v>-14000</v>
      </c>
    </row>
    <row r="1256" spans="1:9" x14ac:dyDescent="0.3">
      <c r="A1256" s="48" t="s">
        <v>57</v>
      </c>
      <c r="C1256">
        <v>1000</v>
      </c>
      <c r="D1256">
        <v>-3000</v>
      </c>
      <c r="E1256">
        <v>-9000</v>
      </c>
      <c r="F1256">
        <v>7000</v>
      </c>
      <c r="G1256">
        <v>-15000</v>
      </c>
      <c r="H1256">
        <v>-15000</v>
      </c>
      <c r="I1256">
        <v>-15000</v>
      </c>
    </row>
    <row r="1257" spans="1:9" x14ac:dyDescent="0.3">
      <c r="A1257" s="48" t="s">
        <v>58</v>
      </c>
      <c r="C1257">
        <v>2000</v>
      </c>
      <c r="D1257">
        <v>-4000</v>
      </c>
      <c r="E1257">
        <v>-10000</v>
      </c>
      <c r="F1257">
        <v>6000</v>
      </c>
      <c r="G1257">
        <v>-16000</v>
      </c>
      <c r="H1257">
        <v>-16000</v>
      </c>
      <c r="I1257">
        <v>-16000</v>
      </c>
    </row>
    <row r="1258" spans="1:9" x14ac:dyDescent="0.3">
      <c r="A1258" s="15" t="s">
        <v>59</v>
      </c>
    </row>
    <row r="1259" spans="1:9" x14ac:dyDescent="0.3">
      <c r="A1259" s="48" t="s">
        <v>35</v>
      </c>
      <c r="C1259">
        <v>-8000</v>
      </c>
      <c r="D1259">
        <v>7000</v>
      </c>
      <c r="E1259">
        <v>-2000</v>
      </c>
      <c r="F1259">
        <v>14000</v>
      </c>
      <c r="G1259">
        <v>-8000</v>
      </c>
      <c r="H1259">
        <v>-8000</v>
      </c>
      <c r="I1259">
        <v>-8000</v>
      </c>
    </row>
    <row r="1260" spans="1:9" x14ac:dyDescent="0.3">
      <c r="A1260" s="48" t="s">
        <v>41</v>
      </c>
      <c r="C1260">
        <v>-7000</v>
      </c>
      <c r="D1260">
        <v>6000</v>
      </c>
      <c r="E1260">
        <v>-3000</v>
      </c>
      <c r="F1260">
        <v>13000</v>
      </c>
      <c r="G1260">
        <v>-9000</v>
      </c>
      <c r="H1260">
        <v>-9000</v>
      </c>
      <c r="I1260">
        <v>-9000</v>
      </c>
    </row>
    <row r="1261" spans="1:9" x14ac:dyDescent="0.3">
      <c r="A1261" s="48" t="s">
        <v>42</v>
      </c>
      <c r="C1261">
        <v>-6000</v>
      </c>
      <c r="D1261">
        <v>5000</v>
      </c>
      <c r="E1261">
        <v>-4000</v>
      </c>
      <c r="F1261">
        <v>12000</v>
      </c>
      <c r="G1261">
        <v>-10000</v>
      </c>
      <c r="H1261">
        <v>-10000</v>
      </c>
      <c r="I1261">
        <v>-10000</v>
      </c>
    </row>
    <row r="1262" spans="1:9" x14ac:dyDescent="0.3">
      <c r="A1262" s="48" t="s">
        <v>43</v>
      </c>
      <c r="C1262">
        <v>-5000</v>
      </c>
      <c r="D1262">
        <v>4000</v>
      </c>
      <c r="E1262">
        <v>-5000</v>
      </c>
      <c r="F1262">
        <v>11000</v>
      </c>
      <c r="G1262">
        <v>-11000</v>
      </c>
      <c r="H1262">
        <v>-11000</v>
      </c>
      <c r="I1262">
        <v>-11000</v>
      </c>
    </row>
    <row r="1263" spans="1:9" x14ac:dyDescent="0.3">
      <c r="A1263" s="48" t="s">
        <v>44</v>
      </c>
      <c r="C1263">
        <v>-4000</v>
      </c>
      <c r="D1263">
        <v>3000</v>
      </c>
      <c r="E1263">
        <v>-6000</v>
      </c>
      <c r="F1263">
        <v>10000</v>
      </c>
      <c r="G1263">
        <v>-12000</v>
      </c>
      <c r="H1263">
        <v>-12000</v>
      </c>
      <c r="I1263">
        <v>-12000</v>
      </c>
    </row>
    <row r="1264" spans="1:9" x14ac:dyDescent="0.3">
      <c r="A1264" s="48" t="s">
        <v>54</v>
      </c>
      <c r="C1264">
        <v>-3000</v>
      </c>
      <c r="D1264">
        <v>2000</v>
      </c>
      <c r="E1264">
        <v>-7000</v>
      </c>
      <c r="F1264">
        <v>9000</v>
      </c>
      <c r="G1264">
        <v>-13000</v>
      </c>
      <c r="H1264">
        <v>-13000</v>
      </c>
      <c r="I1264">
        <v>-13000</v>
      </c>
    </row>
    <row r="1265" spans="1:9" x14ac:dyDescent="0.3">
      <c r="A1265" s="48" t="s">
        <v>55</v>
      </c>
      <c r="C1265">
        <v>-2000</v>
      </c>
      <c r="D1265">
        <v>1000</v>
      </c>
      <c r="E1265">
        <v>-8000</v>
      </c>
      <c r="F1265">
        <v>8000</v>
      </c>
      <c r="G1265">
        <v>-14000</v>
      </c>
      <c r="H1265">
        <v>-14000</v>
      </c>
      <c r="I1265">
        <v>-14000</v>
      </c>
    </row>
    <row r="1266" spans="1:9" x14ac:dyDescent="0.3">
      <c r="A1266" s="48" t="s">
        <v>56</v>
      </c>
      <c r="C1266">
        <v>-1000</v>
      </c>
      <c r="D1266">
        <v>0</v>
      </c>
      <c r="E1266">
        <v>-9000</v>
      </c>
      <c r="F1266">
        <v>7000</v>
      </c>
      <c r="G1266">
        <v>-15000</v>
      </c>
      <c r="H1266">
        <v>-15000</v>
      </c>
      <c r="I1266">
        <v>-15000</v>
      </c>
    </row>
    <row r="1267" spans="1:9" x14ac:dyDescent="0.3">
      <c r="A1267" s="48" t="s">
        <v>57</v>
      </c>
      <c r="C1267">
        <v>0</v>
      </c>
      <c r="D1267">
        <v>-1000</v>
      </c>
      <c r="E1267">
        <v>-10000</v>
      </c>
      <c r="F1267">
        <v>6000</v>
      </c>
      <c r="G1267">
        <v>-16000</v>
      </c>
      <c r="H1267">
        <v>-16000</v>
      </c>
      <c r="I1267">
        <v>-16000</v>
      </c>
    </row>
    <row r="1268" spans="1:9" x14ac:dyDescent="0.3">
      <c r="A1268" s="48" t="s">
        <v>58</v>
      </c>
      <c r="C1268">
        <v>1000</v>
      </c>
      <c r="D1268">
        <v>-2000</v>
      </c>
      <c r="E1268">
        <v>-11000</v>
      </c>
      <c r="F1268">
        <v>5000</v>
      </c>
      <c r="G1268">
        <v>-17000</v>
      </c>
      <c r="H1268">
        <v>-17000</v>
      </c>
      <c r="I1268">
        <v>-17000</v>
      </c>
    </row>
    <row r="1269" spans="1:9" x14ac:dyDescent="0.3">
      <c r="A1269" s="15" t="s">
        <v>60</v>
      </c>
    </row>
    <row r="1270" spans="1:9" x14ac:dyDescent="0.3">
      <c r="A1270" s="48" t="s">
        <v>35</v>
      </c>
      <c r="C1270">
        <v>-9000</v>
      </c>
      <c r="D1270">
        <v>9000</v>
      </c>
      <c r="E1270">
        <v>-3000</v>
      </c>
      <c r="F1270">
        <v>13000</v>
      </c>
      <c r="G1270">
        <v>-9000</v>
      </c>
      <c r="H1270">
        <v>-9000</v>
      </c>
      <c r="I1270">
        <v>-9000</v>
      </c>
    </row>
    <row r="1271" spans="1:9" x14ac:dyDescent="0.3">
      <c r="A1271" s="48" t="s">
        <v>41</v>
      </c>
      <c r="C1271">
        <v>-8000</v>
      </c>
      <c r="D1271">
        <v>8000</v>
      </c>
      <c r="E1271">
        <v>-4000</v>
      </c>
      <c r="F1271">
        <v>12000</v>
      </c>
      <c r="G1271">
        <v>-10000</v>
      </c>
      <c r="H1271">
        <v>-10000</v>
      </c>
      <c r="I1271">
        <v>-10000</v>
      </c>
    </row>
    <row r="1272" spans="1:9" x14ac:dyDescent="0.3">
      <c r="A1272" s="48" t="s">
        <v>42</v>
      </c>
      <c r="C1272">
        <v>-7000</v>
      </c>
      <c r="D1272">
        <v>7000</v>
      </c>
      <c r="E1272">
        <v>-5000</v>
      </c>
      <c r="F1272">
        <v>11000</v>
      </c>
      <c r="G1272">
        <v>-11000</v>
      </c>
      <c r="H1272">
        <v>-11000</v>
      </c>
      <c r="I1272">
        <v>-11000</v>
      </c>
    </row>
    <row r="1273" spans="1:9" x14ac:dyDescent="0.3">
      <c r="A1273" s="48" t="s">
        <v>43</v>
      </c>
      <c r="C1273">
        <v>-6000</v>
      </c>
      <c r="D1273">
        <v>6000</v>
      </c>
      <c r="E1273">
        <v>-6000</v>
      </c>
      <c r="F1273">
        <v>10000</v>
      </c>
      <c r="G1273">
        <v>-12000</v>
      </c>
      <c r="H1273">
        <v>-12000</v>
      </c>
      <c r="I1273">
        <v>-12000</v>
      </c>
    </row>
    <row r="1274" spans="1:9" x14ac:dyDescent="0.3">
      <c r="A1274" s="48" t="s">
        <v>44</v>
      </c>
      <c r="C1274">
        <v>-5000</v>
      </c>
      <c r="D1274">
        <v>5000</v>
      </c>
      <c r="E1274">
        <v>-7000</v>
      </c>
      <c r="F1274">
        <v>9000</v>
      </c>
      <c r="G1274">
        <v>-13000</v>
      </c>
      <c r="H1274">
        <v>-13000</v>
      </c>
      <c r="I1274">
        <v>-13000</v>
      </c>
    </row>
    <row r="1275" spans="1:9" x14ac:dyDescent="0.3">
      <c r="A1275" s="48" t="s">
        <v>54</v>
      </c>
      <c r="C1275">
        <v>-4000</v>
      </c>
      <c r="D1275">
        <v>4000</v>
      </c>
      <c r="E1275">
        <v>-8000</v>
      </c>
      <c r="F1275">
        <v>8000</v>
      </c>
      <c r="G1275">
        <v>-14000</v>
      </c>
      <c r="H1275">
        <v>-14000</v>
      </c>
      <c r="I1275">
        <v>-14000</v>
      </c>
    </row>
    <row r="1276" spans="1:9" x14ac:dyDescent="0.3">
      <c r="A1276" s="48" t="s">
        <v>55</v>
      </c>
      <c r="C1276">
        <v>-3000</v>
      </c>
      <c r="D1276">
        <v>3000</v>
      </c>
      <c r="E1276">
        <v>-9000</v>
      </c>
      <c r="F1276">
        <v>7000</v>
      </c>
      <c r="G1276">
        <v>-15000</v>
      </c>
      <c r="H1276">
        <v>-15000</v>
      </c>
      <c r="I1276">
        <v>-15000</v>
      </c>
    </row>
    <row r="1277" spans="1:9" x14ac:dyDescent="0.3">
      <c r="A1277" s="48" t="s">
        <v>56</v>
      </c>
      <c r="C1277">
        <v>-2000</v>
      </c>
      <c r="D1277">
        <v>2000</v>
      </c>
      <c r="E1277">
        <v>-10000</v>
      </c>
      <c r="F1277">
        <v>6000</v>
      </c>
      <c r="G1277">
        <v>-16000</v>
      </c>
      <c r="H1277">
        <v>-16000</v>
      </c>
      <c r="I1277">
        <v>-16000</v>
      </c>
    </row>
    <row r="1278" spans="1:9" x14ac:dyDescent="0.3">
      <c r="A1278" s="48" t="s">
        <v>57</v>
      </c>
      <c r="C1278">
        <v>-1000</v>
      </c>
      <c r="D1278">
        <v>1000</v>
      </c>
      <c r="E1278">
        <v>-11000</v>
      </c>
      <c r="F1278">
        <v>5000</v>
      </c>
      <c r="G1278">
        <v>-17000</v>
      </c>
      <c r="H1278">
        <v>-17000</v>
      </c>
      <c r="I1278">
        <v>-17000</v>
      </c>
    </row>
    <row r="1279" spans="1:9" x14ac:dyDescent="0.3">
      <c r="A1279" s="48" t="s">
        <v>58</v>
      </c>
      <c r="C1279">
        <v>0</v>
      </c>
      <c r="D1279">
        <v>0</v>
      </c>
      <c r="E1279">
        <v>-12000</v>
      </c>
      <c r="F1279">
        <v>4000</v>
      </c>
      <c r="G1279">
        <v>-18000</v>
      </c>
      <c r="H1279">
        <v>-18000</v>
      </c>
      <c r="I1279">
        <v>-18000</v>
      </c>
    </row>
    <row r="1280" spans="1:9" x14ac:dyDescent="0.3">
      <c r="A1280" s="15" t="s">
        <v>61</v>
      </c>
    </row>
    <row r="1281" spans="1:9" x14ac:dyDescent="0.3">
      <c r="A1281" s="48" t="s">
        <v>35</v>
      </c>
      <c r="C1281">
        <v>-10000</v>
      </c>
      <c r="D1281">
        <v>11000</v>
      </c>
      <c r="E1281">
        <v>-4000</v>
      </c>
      <c r="F1281">
        <v>12000</v>
      </c>
      <c r="G1281">
        <v>-10000</v>
      </c>
      <c r="H1281">
        <v>-10000</v>
      </c>
      <c r="I1281">
        <v>-10000</v>
      </c>
    </row>
    <row r="1282" spans="1:9" x14ac:dyDescent="0.3">
      <c r="A1282" s="48" t="s">
        <v>41</v>
      </c>
      <c r="C1282">
        <v>-9000</v>
      </c>
      <c r="D1282">
        <v>10000</v>
      </c>
      <c r="E1282">
        <v>-5000</v>
      </c>
      <c r="F1282">
        <v>11000</v>
      </c>
      <c r="G1282">
        <v>-11000</v>
      </c>
      <c r="H1282">
        <v>-11000</v>
      </c>
      <c r="I1282">
        <v>-11000</v>
      </c>
    </row>
    <row r="1283" spans="1:9" x14ac:dyDescent="0.3">
      <c r="A1283" s="48" t="s">
        <v>42</v>
      </c>
      <c r="C1283">
        <v>-8000</v>
      </c>
      <c r="D1283">
        <v>9000</v>
      </c>
      <c r="E1283">
        <v>-6000</v>
      </c>
      <c r="F1283">
        <v>10000</v>
      </c>
      <c r="G1283">
        <v>-12000</v>
      </c>
      <c r="H1283">
        <v>-12000</v>
      </c>
      <c r="I1283">
        <v>-12000</v>
      </c>
    </row>
    <row r="1284" spans="1:9" x14ac:dyDescent="0.3">
      <c r="A1284" s="48" t="s">
        <v>43</v>
      </c>
      <c r="C1284">
        <v>-7000</v>
      </c>
      <c r="D1284">
        <v>8000</v>
      </c>
      <c r="E1284">
        <v>-7000</v>
      </c>
      <c r="F1284">
        <v>9000</v>
      </c>
      <c r="G1284">
        <v>-13000</v>
      </c>
      <c r="H1284">
        <v>-13000</v>
      </c>
      <c r="I1284">
        <v>-13000</v>
      </c>
    </row>
    <row r="1285" spans="1:9" x14ac:dyDescent="0.3">
      <c r="A1285" s="48" t="s">
        <v>44</v>
      </c>
      <c r="C1285">
        <v>-6000</v>
      </c>
      <c r="D1285">
        <v>7000</v>
      </c>
      <c r="E1285">
        <v>-8000</v>
      </c>
      <c r="F1285">
        <v>8000</v>
      </c>
      <c r="G1285">
        <v>-14000</v>
      </c>
      <c r="H1285">
        <v>-14000</v>
      </c>
      <c r="I1285">
        <v>-14000</v>
      </c>
    </row>
    <row r="1286" spans="1:9" x14ac:dyDescent="0.3">
      <c r="A1286" s="48" t="s">
        <v>54</v>
      </c>
      <c r="C1286">
        <v>-5000</v>
      </c>
      <c r="D1286">
        <v>6000</v>
      </c>
      <c r="E1286">
        <v>-9000</v>
      </c>
      <c r="F1286">
        <v>7000</v>
      </c>
      <c r="G1286">
        <v>-15000</v>
      </c>
      <c r="H1286">
        <v>-15000</v>
      </c>
      <c r="I1286">
        <v>-15000</v>
      </c>
    </row>
    <row r="1287" spans="1:9" x14ac:dyDescent="0.3">
      <c r="A1287" s="48" t="s">
        <v>55</v>
      </c>
      <c r="C1287">
        <v>-4000</v>
      </c>
      <c r="D1287">
        <v>5000</v>
      </c>
      <c r="E1287">
        <v>-10000</v>
      </c>
      <c r="F1287">
        <v>6000</v>
      </c>
      <c r="G1287">
        <v>-16000</v>
      </c>
      <c r="H1287">
        <v>-16000</v>
      </c>
      <c r="I1287">
        <v>-16000</v>
      </c>
    </row>
    <row r="1288" spans="1:9" x14ac:dyDescent="0.3">
      <c r="A1288" s="48" t="s">
        <v>56</v>
      </c>
      <c r="C1288">
        <v>-3000</v>
      </c>
      <c r="D1288">
        <v>4000</v>
      </c>
      <c r="E1288">
        <v>-11000</v>
      </c>
      <c r="F1288">
        <v>5000</v>
      </c>
      <c r="G1288">
        <v>-17000</v>
      </c>
      <c r="H1288">
        <v>-17000</v>
      </c>
      <c r="I1288">
        <v>-17000</v>
      </c>
    </row>
    <row r="1289" spans="1:9" x14ac:dyDescent="0.3">
      <c r="A1289" s="48" t="s">
        <v>57</v>
      </c>
      <c r="C1289">
        <v>-2000</v>
      </c>
      <c r="D1289">
        <v>3000</v>
      </c>
      <c r="E1289">
        <v>-12000</v>
      </c>
      <c r="F1289">
        <v>4000</v>
      </c>
      <c r="G1289">
        <v>-18000</v>
      </c>
      <c r="H1289">
        <v>-18000</v>
      </c>
      <c r="I1289">
        <v>-18000</v>
      </c>
    </row>
    <row r="1290" spans="1:9" x14ac:dyDescent="0.3">
      <c r="A1290" s="48" t="s">
        <v>58</v>
      </c>
      <c r="C1290">
        <v>-1000</v>
      </c>
      <c r="D1290">
        <v>2000</v>
      </c>
      <c r="E1290">
        <v>-13000</v>
      </c>
      <c r="F1290">
        <v>3000</v>
      </c>
      <c r="G1290">
        <v>-19000</v>
      </c>
      <c r="H1290">
        <v>-19000</v>
      </c>
      <c r="I1290">
        <v>-19000</v>
      </c>
    </row>
    <row r="1291" spans="1:9" x14ac:dyDescent="0.3">
      <c r="A1291" s="15" t="s">
        <v>62</v>
      </c>
    </row>
    <row r="1292" spans="1:9" x14ac:dyDescent="0.3">
      <c r="A1292" s="48" t="s">
        <v>35</v>
      </c>
      <c r="C1292">
        <v>-11000</v>
      </c>
      <c r="D1292">
        <v>13000</v>
      </c>
      <c r="E1292">
        <v>-5000</v>
      </c>
      <c r="F1292">
        <v>11000</v>
      </c>
      <c r="G1292">
        <v>-11000</v>
      </c>
      <c r="H1292">
        <v>-11000</v>
      </c>
      <c r="I1292">
        <v>-11000</v>
      </c>
    </row>
    <row r="1293" spans="1:9" x14ac:dyDescent="0.3">
      <c r="A1293" s="48" t="s">
        <v>41</v>
      </c>
      <c r="C1293">
        <v>-10000</v>
      </c>
      <c r="D1293">
        <v>12000</v>
      </c>
      <c r="E1293">
        <v>-6000</v>
      </c>
      <c r="F1293">
        <v>10000</v>
      </c>
      <c r="G1293">
        <v>-12000</v>
      </c>
      <c r="H1293">
        <v>-12000</v>
      </c>
      <c r="I1293">
        <v>-12000</v>
      </c>
    </row>
    <row r="1294" spans="1:9" x14ac:dyDescent="0.3">
      <c r="A1294" s="48" t="s">
        <v>42</v>
      </c>
      <c r="C1294">
        <v>-9000</v>
      </c>
      <c r="D1294">
        <v>11000</v>
      </c>
      <c r="E1294">
        <v>-7000</v>
      </c>
      <c r="F1294">
        <v>9000</v>
      </c>
      <c r="G1294">
        <v>-13000</v>
      </c>
      <c r="H1294">
        <v>-13000</v>
      </c>
      <c r="I1294">
        <v>-13000</v>
      </c>
    </row>
    <row r="1295" spans="1:9" x14ac:dyDescent="0.3">
      <c r="A1295" s="48" t="s">
        <v>43</v>
      </c>
      <c r="C1295">
        <v>-8000</v>
      </c>
      <c r="D1295">
        <v>10000</v>
      </c>
      <c r="E1295">
        <v>-8000</v>
      </c>
      <c r="F1295">
        <v>8000</v>
      </c>
      <c r="G1295">
        <v>-14000</v>
      </c>
      <c r="H1295">
        <v>-14000</v>
      </c>
      <c r="I1295">
        <v>-14000</v>
      </c>
    </row>
    <row r="1296" spans="1:9" x14ac:dyDescent="0.3">
      <c r="A1296" s="48" t="s">
        <v>44</v>
      </c>
      <c r="C1296">
        <v>-7000</v>
      </c>
      <c r="D1296">
        <v>9000</v>
      </c>
      <c r="E1296">
        <v>-9000</v>
      </c>
      <c r="F1296">
        <v>7000</v>
      </c>
      <c r="G1296">
        <v>-15000</v>
      </c>
      <c r="H1296">
        <v>-15000</v>
      </c>
      <c r="I1296">
        <v>-15000</v>
      </c>
    </row>
    <row r="1297" spans="1:9" x14ac:dyDescent="0.3">
      <c r="A1297" s="48" t="s">
        <v>54</v>
      </c>
      <c r="C1297">
        <v>-6000</v>
      </c>
      <c r="D1297">
        <v>8000</v>
      </c>
      <c r="E1297">
        <v>-10000</v>
      </c>
      <c r="F1297">
        <v>6000</v>
      </c>
      <c r="G1297">
        <v>-16000</v>
      </c>
      <c r="H1297">
        <v>-16000</v>
      </c>
      <c r="I1297">
        <v>-16000</v>
      </c>
    </row>
    <row r="1298" spans="1:9" x14ac:dyDescent="0.3">
      <c r="A1298" s="48" t="s">
        <v>55</v>
      </c>
      <c r="C1298">
        <v>-5000</v>
      </c>
      <c r="D1298">
        <v>7000</v>
      </c>
      <c r="E1298">
        <v>-11000</v>
      </c>
      <c r="F1298">
        <v>5000</v>
      </c>
      <c r="G1298">
        <v>-17000</v>
      </c>
      <c r="H1298">
        <v>-17000</v>
      </c>
      <c r="I1298">
        <v>-17000</v>
      </c>
    </row>
    <row r="1299" spans="1:9" x14ac:dyDescent="0.3">
      <c r="A1299" s="48" t="s">
        <v>56</v>
      </c>
      <c r="C1299">
        <v>-4000</v>
      </c>
      <c r="D1299">
        <v>6000</v>
      </c>
      <c r="E1299">
        <v>-12000</v>
      </c>
      <c r="F1299">
        <v>4000</v>
      </c>
      <c r="G1299">
        <v>-18000</v>
      </c>
      <c r="H1299">
        <v>-18000</v>
      </c>
      <c r="I1299">
        <v>-18000</v>
      </c>
    </row>
    <row r="1300" spans="1:9" x14ac:dyDescent="0.3">
      <c r="A1300" s="48" t="s">
        <v>57</v>
      </c>
      <c r="C1300">
        <v>-3000</v>
      </c>
      <c r="D1300">
        <v>5000</v>
      </c>
      <c r="E1300">
        <v>-13000</v>
      </c>
      <c r="F1300">
        <v>3000</v>
      </c>
      <c r="G1300">
        <v>-19000</v>
      </c>
      <c r="H1300">
        <v>-19000</v>
      </c>
      <c r="I1300">
        <v>-19000</v>
      </c>
    </row>
    <row r="1301" spans="1:9" x14ac:dyDescent="0.3">
      <c r="A1301" s="48" t="s">
        <v>58</v>
      </c>
      <c r="C1301">
        <v>-2000</v>
      </c>
      <c r="D1301">
        <v>4000</v>
      </c>
      <c r="E1301">
        <v>-14000</v>
      </c>
      <c r="F1301">
        <v>2000</v>
      </c>
      <c r="G1301">
        <v>-20000</v>
      </c>
      <c r="H1301">
        <v>-20000</v>
      </c>
      <c r="I1301">
        <v>-20000</v>
      </c>
    </row>
    <row r="1302" spans="1:9" x14ac:dyDescent="0.3">
      <c r="A1302" s="15" t="s">
        <v>63</v>
      </c>
    </row>
    <row r="1303" spans="1:9" x14ac:dyDescent="0.3">
      <c r="A1303" s="48" t="s">
        <v>35</v>
      </c>
      <c r="C1303">
        <v>-12000</v>
      </c>
      <c r="D1303">
        <v>15000</v>
      </c>
      <c r="E1303">
        <v>-6000</v>
      </c>
      <c r="F1303">
        <v>10000</v>
      </c>
      <c r="G1303">
        <v>-12000</v>
      </c>
      <c r="H1303">
        <v>-12000</v>
      </c>
      <c r="I1303">
        <v>-12000</v>
      </c>
    </row>
    <row r="1304" spans="1:9" x14ac:dyDescent="0.3">
      <c r="A1304" s="48" t="s">
        <v>41</v>
      </c>
      <c r="C1304">
        <v>-11000</v>
      </c>
      <c r="D1304">
        <v>14000</v>
      </c>
      <c r="E1304">
        <v>-7000</v>
      </c>
      <c r="F1304">
        <v>9000</v>
      </c>
      <c r="G1304">
        <v>-13000</v>
      </c>
      <c r="H1304">
        <v>-13000</v>
      </c>
      <c r="I1304">
        <v>-13000</v>
      </c>
    </row>
    <row r="1305" spans="1:9" x14ac:dyDescent="0.3">
      <c r="A1305" s="48" t="s">
        <v>42</v>
      </c>
      <c r="C1305">
        <v>-10000</v>
      </c>
      <c r="D1305">
        <v>13000</v>
      </c>
      <c r="E1305">
        <v>-8000</v>
      </c>
      <c r="F1305">
        <v>8000</v>
      </c>
      <c r="G1305">
        <v>-14000</v>
      </c>
      <c r="H1305">
        <v>-14000</v>
      </c>
      <c r="I1305">
        <v>-14000</v>
      </c>
    </row>
    <row r="1306" spans="1:9" x14ac:dyDescent="0.3">
      <c r="A1306" s="48" t="s">
        <v>43</v>
      </c>
      <c r="C1306">
        <v>-9000</v>
      </c>
      <c r="D1306">
        <v>12000</v>
      </c>
      <c r="E1306">
        <v>-9000</v>
      </c>
      <c r="F1306">
        <v>7000</v>
      </c>
      <c r="G1306">
        <v>-15000</v>
      </c>
      <c r="H1306">
        <v>-15000</v>
      </c>
      <c r="I1306">
        <v>-15000</v>
      </c>
    </row>
    <row r="1307" spans="1:9" x14ac:dyDescent="0.3">
      <c r="A1307" s="48" t="s">
        <v>44</v>
      </c>
      <c r="C1307">
        <v>-8000</v>
      </c>
      <c r="D1307">
        <v>11000</v>
      </c>
      <c r="E1307">
        <v>-10000</v>
      </c>
      <c r="F1307">
        <v>6000</v>
      </c>
      <c r="G1307">
        <v>-16000</v>
      </c>
      <c r="H1307">
        <v>-16000</v>
      </c>
      <c r="I1307">
        <v>-16000</v>
      </c>
    </row>
    <row r="1308" spans="1:9" x14ac:dyDescent="0.3">
      <c r="A1308" s="48" t="s">
        <v>54</v>
      </c>
      <c r="C1308">
        <v>-7000</v>
      </c>
      <c r="D1308">
        <v>10000</v>
      </c>
      <c r="E1308">
        <v>-11000</v>
      </c>
      <c r="F1308">
        <v>5000</v>
      </c>
      <c r="G1308">
        <v>-17000</v>
      </c>
      <c r="H1308">
        <v>-17000</v>
      </c>
      <c r="I1308">
        <v>-17000</v>
      </c>
    </row>
    <row r="1309" spans="1:9" x14ac:dyDescent="0.3">
      <c r="A1309" s="48" t="s">
        <v>55</v>
      </c>
      <c r="C1309">
        <v>-6000</v>
      </c>
      <c r="D1309">
        <v>9000</v>
      </c>
      <c r="E1309">
        <v>-12000</v>
      </c>
      <c r="F1309">
        <v>4000</v>
      </c>
      <c r="G1309">
        <v>-18000</v>
      </c>
      <c r="H1309">
        <v>-18000</v>
      </c>
      <c r="I1309">
        <v>-18000</v>
      </c>
    </row>
    <row r="1310" spans="1:9" x14ac:dyDescent="0.3">
      <c r="A1310" s="48" t="s">
        <v>56</v>
      </c>
      <c r="C1310">
        <v>-5000</v>
      </c>
      <c r="D1310">
        <v>8000</v>
      </c>
      <c r="E1310">
        <v>-13000</v>
      </c>
      <c r="F1310">
        <v>3000</v>
      </c>
      <c r="G1310">
        <v>-19000</v>
      </c>
      <c r="H1310">
        <v>-19000</v>
      </c>
      <c r="I1310">
        <v>-19000</v>
      </c>
    </row>
    <row r="1311" spans="1:9" x14ac:dyDescent="0.3">
      <c r="A1311" s="48" t="s">
        <v>57</v>
      </c>
      <c r="C1311">
        <v>-4000</v>
      </c>
      <c r="D1311">
        <v>7000</v>
      </c>
      <c r="E1311">
        <v>-14000</v>
      </c>
      <c r="F1311">
        <v>2000</v>
      </c>
      <c r="G1311">
        <v>-20000</v>
      </c>
      <c r="H1311">
        <v>-20000</v>
      </c>
      <c r="I1311">
        <v>-20000</v>
      </c>
    </row>
    <row r="1312" spans="1:9" x14ac:dyDescent="0.3">
      <c r="A1312" s="48" t="s">
        <v>58</v>
      </c>
      <c r="C1312">
        <v>-3000</v>
      </c>
      <c r="D1312">
        <v>6000</v>
      </c>
      <c r="E1312">
        <v>-15000</v>
      </c>
      <c r="F1312">
        <v>1000</v>
      </c>
      <c r="G1312">
        <v>-21000</v>
      </c>
      <c r="H1312">
        <v>-21000</v>
      </c>
      <c r="I1312">
        <v>-21000</v>
      </c>
    </row>
    <row r="1313" spans="1:9" x14ac:dyDescent="0.3">
      <c r="A1313" s="15" t="s">
        <v>50</v>
      </c>
      <c r="B1313">
        <v>-5000</v>
      </c>
      <c r="C1313">
        <v>5000</v>
      </c>
      <c r="D1313">
        <v>-55000</v>
      </c>
      <c r="E1313">
        <v>-25000</v>
      </c>
      <c r="F1313">
        <v>135000</v>
      </c>
      <c r="G1313">
        <v>-85000</v>
      </c>
      <c r="H1313">
        <v>-85000</v>
      </c>
      <c r="I1313">
        <v>-80000</v>
      </c>
    </row>
    <row r="1314" spans="1:9" x14ac:dyDescent="0.3">
      <c r="A1314" s="14" t="s">
        <v>50</v>
      </c>
    </row>
    <row r="1315" spans="1:9" x14ac:dyDescent="0.3">
      <c r="A1315" s="15" t="s">
        <v>34</v>
      </c>
    </row>
    <row r="1316" spans="1:9" x14ac:dyDescent="0.3">
      <c r="A1316" s="48" t="s">
        <v>35</v>
      </c>
      <c r="C1316">
        <v>-4000</v>
      </c>
      <c r="D1316">
        <v>-4000</v>
      </c>
      <c r="E1316">
        <v>8000</v>
      </c>
      <c r="F1316">
        <v>18000</v>
      </c>
      <c r="G1316">
        <v>-4000</v>
      </c>
      <c r="H1316">
        <v>-4000</v>
      </c>
      <c r="I1316">
        <v>-4000</v>
      </c>
    </row>
    <row r="1317" spans="1:9" x14ac:dyDescent="0.3">
      <c r="A1317" s="48" t="s">
        <v>41</v>
      </c>
      <c r="C1317">
        <v>-3000</v>
      </c>
      <c r="D1317">
        <v>-5000</v>
      </c>
      <c r="E1317">
        <v>7000</v>
      </c>
      <c r="F1317">
        <v>17000</v>
      </c>
      <c r="G1317">
        <v>-5000</v>
      </c>
      <c r="H1317">
        <v>-5000</v>
      </c>
      <c r="I1317">
        <v>-5000</v>
      </c>
    </row>
    <row r="1318" spans="1:9" x14ac:dyDescent="0.3">
      <c r="A1318" s="48" t="s">
        <v>42</v>
      </c>
      <c r="C1318">
        <v>-2000</v>
      </c>
      <c r="D1318">
        <v>-6000</v>
      </c>
      <c r="E1318">
        <v>6000</v>
      </c>
      <c r="F1318">
        <v>16000</v>
      </c>
      <c r="G1318">
        <v>-6000</v>
      </c>
      <c r="H1318">
        <v>-6000</v>
      </c>
      <c r="I1318">
        <v>-6000</v>
      </c>
    </row>
    <row r="1319" spans="1:9" x14ac:dyDescent="0.3">
      <c r="A1319" s="48" t="s">
        <v>43</v>
      </c>
      <c r="C1319">
        <v>-1000</v>
      </c>
      <c r="D1319">
        <v>-7000</v>
      </c>
      <c r="E1319">
        <v>5000</v>
      </c>
      <c r="F1319">
        <v>15000</v>
      </c>
      <c r="G1319">
        <v>-7000</v>
      </c>
      <c r="H1319">
        <v>-7000</v>
      </c>
      <c r="I1319">
        <v>-7000</v>
      </c>
    </row>
    <row r="1320" spans="1:9" x14ac:dyDescent="0.3">
      <c r="A1320" s="48" t="s">
        <v>44</v>
      </c>
      <c r="C1320">
        <v>0</v>
      </c>
      <c r="D1320">
        <v>-8000</v>
      </c>
      <c r="E1320">
        <v>4000</v>
      </c>
      <c r="F1320">
        <v>14000</v>
      </c>
      <c r="G1320">
        <v>-8000</v>
      </c>
      <c r="H1320">
        <v>-8000</v>
      </c>
      <c r="I1320">
        <v>-8000</v>
      </c>
    </row>
    <row r="1321" spans="1:9" x14ac:dyDescent="0.3">
      <c r="A1321" s="48" t="s">
        <v>54</v>
      </c>
      <c r="C1321">
        <v>1000</v>
      </c>
      <c r="D1321">
        <v>-9000</v>
      </c>
      <c r="E1321">
        <v>3000</v>
      </c>
      <c r="F1321">
        <v>13000</v>
      </c>
      <c r="G1321">
        <v>-9000</v>
      </c>
      <c r="H1321">
        <v>-9000</v>
      </c>
      <c r="I1321">
        <v>-9000</v>
      </c>
    </row>
    <row r="1322" spans="1:9" x14ac:dyDescent="0.3">
      <c r="A1322" s="48" t="s">
        <v>55</v>
      </c>
      <c r="C1322">
        <v>2000</v>
      </c>
      <c r="D1322">
        <v>-10000</v>
      </c>
      <c r="E1322">
        <v>2000</v>
      </c>
      <c r="F1322">
        <v>12000</v>
      </c>
      <c r="G1322">
        <v>-10000</v>
      </c>
      <c r="H1322">
        <v>-10000</v>
      </c>
      <c r="I1322">
        <v>-10000</v>
      </c>
    </row>
    <row r="1323" spans="1:9" x14ac:dyDescent="0.3">
      <c r="A1323" s="48" t="s">
        <v>56</v>
      </c>
      <c r="C1323">
        <v>3000</v>
      </c>
      <c r="D1323">
        <v>-11000</v>
      </c>
      <c r="E1323">
        <v>1000</v>
      </c>
      <c r="F1323">
        <v>11000</v>
      </c>
      <c r="G1323">
        <v>-11000</v>
      </c>
      <c r="H1323">
        <v>-11000</v>
      </c>
      <c r="I1323">
        <v>-11000</v>
      </c>
    </row>
    <row r="1324" spans="1:9" x14ac:dyDescent="0.3">
      <c r="A1324" s="48" t="s">
        <v>57</v>
      </c>
      <c r="C1324">
        <v>4000</v>
      </c>
      <c r="D1324">
        <v>-12000</v>
      </c>
      <c r="E1324">
        <v>0</v>
      </c>
      <c r="F1324">
        <v>10000</v>
      </c>
      <c r="G1324">
        <v>-12000</v>
      </c>
      <c r="H1324">
        <v>-12000</v>
      </c>
      <c r="I1324">
        <v>-12000</v>
      </c>
    </row>
    <row r="1325" spans="1:9" x14ac:dyDescent="0.3">
      <c r="A1325" s="48" t="s">
        <v>58</v>
      </c>
      <c r="C1325">
        <v>5000</v>
      </c>
      <c r="D1325">
        <v>-13000</v>
      </c>
      <c r="E1325">
        <v>-1000</v>
      </c>
      <c r="F1325">
        <v>9000</v>
      </c>
      <c r="G1325">
        <v>-13000</v>
      </c>
      <c r="H1325">
        <v>-13000</v>
      </c>
      <c r="I1325">
        <v>-13000</v>
      </c>
    </row>
    <row r="1326" spans="1:9" x14ac:dyDescent="0.3">
      <c r="A1326" s="15" t="s">
        <v>45</v>
      </c>
    </row>
    <row r="1327" spans="1:9" x14ac:dyDescent="0.3">
      <c r="A1327" s="48" t="s">
        <v>35</v>
      </c>
      <c r="C1327">
        <v>-5000</v>
      </c>
      <c r="D1327">
        <v>-2000</v>
      </c>
      <c r="E1327">
        <v>7000</v>
      </c>
      <c r="F1327">
        <v>17000</v>
      </c>
      <c r="G1327">
        <v>-5000</v>
      </c>
      <c r="H1327">
        <v>-5000</v>
      </c>
      <c r="I1327">
        <v>-5000</v>
      </c>
    </row>
    <row r="1328" spans="1:9" x14ac:dyDescent="0.3">
      <c r="A1328" s="48" t="s">
        <v>41</v>
      </c>
      <c r="C1328">
        <v>-4000</v>
      </c>
      <c r="D1328">
        <v>-3000</v>
      </c>
      <c r="E1328">
        <v>6000</v>
      </c>
      <c r="F1328">
        <v>16000</v>
      </c>
      <c r="G1328">
        <v>-6000</v>
      </c>
      <c r="H1328">
        <v>-6000</v>
      </c>
      <c r="I1328">
        <v>-6000</v>
      </c>
    </row>
    <row r="1329" spans="1:9" x14ac:dyDescent="0.3">
      <c r="A1329" s="48" t="s">
        <v>42</v>
      </c>
      <c r="C1329">
        <v>-3000</v>
      </c>
      <c r="D1329">
        <v>-4000</v>
      </c>
      <c r="E1329">
        <v>5000</v>
      </c>
      <c r="F1329">
        <v>15000</v>
      </c>
      <c r="G1329">
        <v>-7000</v>
      </c>
      <c r="H1329">
        <v>-7000</v>
      </c>
      <c r="I1329">
        <v>-7000</v>
      </c>
    </row>
    <row r="1330" spans="1:9" x14ac:dyDescent="0.3">
      <c r="A1330" s="48" t="s">
        <v>43</v>
      </c>
      <c r="C1330">
        <v>-2000</v>
      </c>
      <c r="D1330">
        <v>-5000</v>
      </c>
      <c r="E1330">
        <v>4000</v>
      </c>
      <c r="F1330">
        <v>14000</v>
      </c>
      <c r="G1330">
        <v>-8000</v>
      </c>
      <c r="H1330">
        <v>-8000</v>
      </c>
      <c r="I1330">
        <v>-8000</v>
      </c>
    </row>
    <row r="1331" spans="1:9" x14ac:dyDescent="0.3">
      <c r="A1331" s="48" t="s">
        <v>44</v>
      </c>
      <c r="C1331">
        <v>-1000</v>
      </c>
      <c r="D1331">
        <v>-6000</v>
      </c>
      <c r="E1331">
        <v>3000</v>
      </c>
      <c r="F1331">
        <v>13000</v>
      </c>
      <c r="G1331">
        <v>-9000</v>
      </c>
      <c r="H1331">
        <v>-9000</v>
      </c>
      <c r="I1331">
        <v>-9000</v>
      </c>
    </row>
    <row r="1332" spans="1:9" x14ac:dyDescent="0.3">
      <c r="A1332" s="48" t="s">
        <v>54</v>
      </c>
      <c r="C1332">
        <v>0</v>
      </c>
      <c r="D1332">
        <v>-7000</v>
      </c>
      <c r="E1332">
        <v>2000</v>
      </c>
      <c r="F1332">
        <v>12000</v>
      </c>
      <c r="G1332">
        <v>-10000</v>
      </c>
      <c r="H1332">
        <v>-10000</v>
      </c>
      <c r="I1332">
        <v>-10000</v>
      </c>
    </row>
    <row r="1333" spans="1:9" x14ac:dyDescent="0.3">
      <c r="A1333" s="48" t="s">
        <v>55</v>
      </c>
      <c r="C1333">
        <v>1000</v>
      </c>
      <c r="D1333">
        <v>-8000</v>
      </c>
      <c r="E1333">
        <v>1000</v>
      </c>
      <c r="F1333">
        <v>11000</v>
      </c>
      <c r="G1333">
        <v>-11000</v>
      </c>
      <c r="H1333">
        <v>-11000</v>
      </c>
      <c r="I1333">
        <v>-11000</v>
      </c>
    </row>
    <row r="1334" spans="1:9" x14ac:dyDescent="0.3">
      <c r="A1334" s="48" t="s">
        <v>56</v>
      </c>
      <c r="C1334">
        <v>2000</v>
      </c>
      <c r="D1334">
        <v>-9000</v>
      </c>
      <c r="E1334">
        <v>0</v>
      </c>
      <c r="F1334">
        <v>10000</v>
      </c>
      <c r="G1334">
        <v>-12000</v>
      </c>
      <c r="H1334">
        <v>-12000</v>
      </c>
      <c r="I1334">
        <v>-12000</v>
      </c>
    </row>
    <row r="1335" spans="1:9" x14ac:dyDescent="0.3">
      <c r="A1335" s="48" t="s">
        <v>57</v>
      </c>
      <c r="C1335">
        <v>3000</v>
      </c>
      <c r="D1335">
        <v>-10000</v>
      </c>
      <c r="E1335">
        <v>-1000</v>
      </c>
      <c r="F1335">
        <v>9000</v>
      </c>
      <c r="G1335">
        <v>-13000</v>
      </c>
      <c r="H1335">
        <v>-13000</v>
      </c>
      <c r="I1335">
        <v>-13000</v>
      </c>
    </row>
    <row r="1336" spans="1:9" x14ac:dyDescent="0.3">
      <c r="A1336" s="48" t="s">
        <v>58</v>
      </c>
      <c r="C1336">
        <v>4000</v>
      </c>
      <c r="D1336">
        <v>-11000</v>
      </c>
      <c r="E1336">
        <v>-2000</v>
      </c>
      <c r="F1336">
        <v>8000</v>
      </c>
      <c r="G1336">
        <v>-14000</v>
      </c>
      <c r="H1336">
        <v>-14000</v>
      </c>
      <c r="I1336">
        <v>-14000</v>
      </c>
    </row>
    <row r="1337" spans="1:9" x14ac:dyDescent="0.3">
      <c r="A1337" s="15" t="s">
        <v>46</v>
      </c>
    </row>
    <row r="1338" spans="1:9" x14ac:dyDescent="0.3">
      <c r="A1338" s="48" t="s">
        <v>35</v>
      </c>
      <c r="C1338">
        <v>-6000</v>
      </c>
      <c r="D1338">
        <v>0</v>
      </c>
      <c r="E1338">
        <v>6000</v>
      </c>
      <c r="F1338">
        <v>16000</v>
      </c>
      <c r="G1338">
        <v>-6000</v>
      </c>
      <c r="H1338">
        <v>-6000</v>
      </c>
      <c r="I1338">
        <v>-6000</v>
      </c>
    </row>
    <row r="1339" spans="1:9" x14ac:dyDescent="0.3">
      <c r="A1339" s="48" t="s">
        <v>41</v>
      </c>
      <c r="C1339">
        <v>-5000</v>
      </c>
      <c r="D1339">
        <v>-1000</v>
      </c>
      <c r="E1339">
        <v>5000</v>
      </c>
      <c r="F1339">
        <v>15000</v>
      </c>
      <c r="G1339">
        <v>-7000</v>
      </c>
      <c r="H1339">
        <v>-7000</v>
      </c>
      <c r="I1339">
        <v>-7000</v>
      </c>
    </row>
    <row r="1340" spans="1:9" x14ac:dyDescent="0.3">
      <c r="A1340" s="48" t="s">
        <v>42</v>
      </c>
      <c r="C1340">
        <v>-4000</v>
      </c>
      <c r="D1340">
        <v>-2000</v>
      </c>
      <c r="E1340">
        <v>4000</v>
      </c>
      <c r="F1340">
        <v>14000</v>
      </c>
      <c r="G1340">
        <v>-8000</v>
      </c>
      <c r="H1340">
        <v>-8000</v>
      </c>
      <c r="I1340">
        <v>-8000</v>
      </c>
    </row>
    <row r="1341" spans="1:9" x14ac:dyDescent="0.3">
      <c r="A1341" s="48" t="s">
        <v>43</v>
      </c>
      <c r="C1341">
        <v>-3000</v>
      </c>
      <c r="D1341">
        <v>-3000</v>
      </c>
      <c r="E1341">
        <v>3000</v>
      </c>
      <c r="F1341">
        <v>13000</v>
      </c>
      <c r="G1341">
        <v>-9000</v>
      </c>
      <c r="H1341">
        <v>-9000</v>
      </c>
      <c r="I1341">
        <v>-9000</v>
      </c>
    </row>
    <row r="1342" spans="1:9" x14ac:dyDescent="0.3">
      <c r="A1342" s="48" t="s">
        <v>44</v>
      </c>
      <c r="C1342">
        <v>-2000</v>
      </c>
      <c r="D1342">
        <v>-4000</v>
      </c>
      <c r="E1342">
        <v>2000</v>
      </c>
      <c r="F1342">
        <v>12000</v>
      </c>
      <c r="G1342">
        <v>-10000</v>
      </c>
      <c r="H1342">
        <v>-10000</v>
      </c>
      <c r="I1342">
        <v>-10000</v>
      </c>
    </row>
    <row r="1343" spans="1:9" x14ac:dyDescent="0.3">
      <c r="A1343" s="48" t="s">
        <v>54</v>
      </c>
      <c r="C1343">
        <v>-1000</v>
      </c>
      <c r="D1343">
        <v>-5000</v>
      </c>
      <c r="E1343">
        <v>1000</v>
      </c>
      <c r="F1343">
        <v>11000</v>
      </c>
      <c r="G1343">
        <v>-11000</v>
      </c>
      <c r="H1343">
        <v>-11000</v>
      </c>
      <c r="I1343">
        <v>-11000</v>
      </c>
    </row>
    <row r="1344" spans="1:9" x14ac:dyDescent="0.3">
      <c r="A1344" s="48" t="s">
        <v>55</v>
      </c>
      <c r="C1344">
        <v>0</v>
      </c>
      <c r="D1344">
        <v>-6000</v>
      </c>
      <c r="E1344">
        <v>0</v>
      </c>
      <c r="F1344">
        <v>10000</v>
      </c>
      <c r="G1344">
        <v>-12000</v>
      </c>
      <c r="H1344">
        <v>-12000</v>
      </c>
      <c r="I1344">
        <v>-12000</v>
      </c>
    </row>
    <row r="1345" spans="1:9" x14ac:dyDescent="0.3">
      <c r="A1345" s="48" t="s">
        <v>56</v>
      </c>
      <c r="C1345">
        <v>1000</v>
      </c>
      <c r="D1345">
        <v>-7000</v>
      </c>
      <c r="E1345">
        <v>-1000</v>
      </c>
      <c r="F1345">
        <v>9000</v>
      </c>
      <c r="G1345">
        <v>-13000</v>
      </c>
      <c r="H1345">
        <v>-13000</v>
      </c>
      <c r="I1345">
        <v>-13000</v>
      </c>
    </row>
    <row r="1346" spans="1:9" x14ac:dyDescent="0.3">
      <c r="A1346" s="48" t="s">
        <v>57</v>
      </c>
      <c r="C1346">
        <v>2000</v>
      </c>
      <c r="D1346">
        <v>-8000</v>
      </c>
      <c r="E1346">
        <v>-2000</v>
      </c>
      <c r="F1346">
        <v>8000</v>
      </c>
      <c r="G1346">
        <v>-14000</v>
      </c>
      <c r="H1346">
        <v>-14000</v>
      </c>
      <c r="I1346">
        <v>-14000</v>
      </c>
    </row>
    <row r="1347" spans="1:9" x14ac:dyDescent="0.3">
      <c r="A1347" s="48" t="s">
        <v>58</v>
      </c>
      <c r="C1347">
        <v>3000</v>
      </c>
      <c r="D1347">
        <v>-9000</v>
      </c>
      <c r="E1347">
        <v>-3000</v>
      </c>
      <c r="F1347">
        <v>7000</v>
      </c>
      <c r="G1347">
        <v>-15000</v>
      </c>
      <c r="H1347">
        <v>-15000</v>
      </c>
      <c r="I1347">
        <v>-15000</v>
      </c>
    </row>
    <row r="1348" spans="1:9" x14ac:dyDescent="0.3">
      <c r="A1348" s="15" t="s">
        <v>47</v>
      </c>
    </row>
    <row r="1349" spans="1:9" x14ac:dyDescent="0.3">
      <c r="A1349" s="48" t="s">
        <v>35</v>
      </c>
      <c r="C1349">
        <v>-7000</v>
      </c>
      <c r="D1349">
        <v>2000</v>
      </c>
      <c r="E1349">
        <v>5000</v>
      </c>
      <c r="F1349">
        <v>15000</v>
      </c>
      <c r="G1349">
        <v>-7000</v>
      </c>
      <c r="H1349">
        <v>-7000</v>
      </c>
      <c r="I1349">
        <v>-7000</v>
      </c>
    </row>
    <row r="1350" spans="1:9" x14ac:dyDescent="0.3">
      <c r="A1350" s="48" t="s">
        <v>41</v>
      </c>
      <c r="C1350">
        <v>-6000</v>
      </c>
      <c r="D1350">
        <v>1000</v>
      </c>
      <c r="E1350">
        <v>4000</v>
      </c>
      <c r="F1350">
        <v>14000</v>
      </c>
      <c r="G1350">
        <v>-8000</v>
      </c>
      <c r="H1350">
        <v>-8000</v>
      </c>
      <c r="I1350">
        <v>-8000</v>
      </c>
    </row>
    <row r="1351" spans="1:9" x14ac:dyDescent="0.3">
      <c r="A1351" s="48" t="s">
        <v>42</v>
      </c>
      <c r="C1351">
        <v>-5000</v>
      </c>
      <c r="D1351">
        <v>0</v>
      </c>
      <c r="E1351">
        <v>3000</v>
      </c>
      <c r="F1351">
        <v>13000</v>
      </c>
      <c r="G1351">
        <v>-9000</v>
      </c>
      <c r="H1351">
        <v>-9000</v>
      </c>
      <c r="I1351">
        <v>-9000</v>
      </c>
    </row>
    <row r="1352" spans="1:9" x14ac:dyDescent="0.3">
      <c r="A1352" s="48" t="s">
        <v>43</v>
      </c>
      <c r="C1352">
        <v>-4000</v>
      </c>
      <c r="D1352">
        <v>-1000</v>
      </c>
      <c r="E1352">
        <v>2000</v>
      </c>
      <c r="F1352">
        <v>12000</v>
      </c>
      <c r="G1352">
        <v>-10000</v>
      </c>
      <c r="H1352">
        <v>-10000</v>
      </c>
      <c r="I1352">
        <v>-10000</v>
      </c>
    </row>
    <row r="1353" spans="1:9" x14ac:dyDescent="0.3">
      <c r="A1353" s="48" t="s">
        <v>44</v>
      </c>
      <c r="C1353">
        <v>-3000</v>
      </c>
      <c r="D1353">
        <v>-2000</v>
      </c>
      <c r="E1353">
        <v>1000</v>
      </c>
      <c r="F1353">
        <v>11000</v>
      </c>
      <c r="G1353">
        <v>-11000</v>
      </c>
      <c r="H1353">
        <v>-11000</v>
      </c>
      <c r="I1353">
        <v>-11000</v>
      </c>
    </row>
    <row r="1354" spans="1:9" x14ac:dyDescent="0.3">
      <c r="A1354" s="48" t="s">
        <v>54</v>
      </c>
      <c r="C1354">
        <v>-2000</v>
      </c>
      <c r="D1354">
        <v>-3000</v>
      </c>
      <c r="E1354">
        <v>0</v>
      </c>
      <c r="F1354">
        <v>10000</v>
      </c>
      <c r="G1354">
        <v>-12000</v>
      </c>
      <c r="H1354">
        <v>-12000</v>
      </c>
      <c r="I1354">
        <v>-12000</v>
      </c>
    </row>
    <row r="1355" spans="1:9" x14ac:dyDescent="0.3">
      <c r="A1355" s="48" t="s">
        <v>55</v>
      </c>
      <c r="C1355">
        <v>-1000</v>
      </c>
      <c r="D1355">
        <v>-4000</v>
      </c>
      <c r="E1355">
        <v>-1000</v>
      </c>
      <c r="F1355">
        <v>9000</v>
      </c>
      <c r="G1355">
        <v>-13000</v>
      </c>
      <c r="H1355">
        <v>-13000</v>
      </c>
      <c r="I1355">
        <v>-13000</v>
      </c>
    </row>
    <row r="1356" spans="1:9" x14ac:dyDescent="0.3">
      <c r="A1356" s="48" t="s">
        <v>56</v>
      </c>
      <c r="C1356">
        <v>0</v>
      </c>
      <c r="D1356">
        <v>-5000</v>
      </c>
      <c r="E1356">
        <v>-2000</v>
      </c>
      <c r="F1356">
        <v>8000</v>
      </c>
      <c r="G1356">
        <v>-14000</v>
      </c>
      <c r="H1356">
        <v>-14000</v>
      </c>
      <c r="I1356">
        <v>-14000</v>
      </c>
    </row>
    <row r="1357" spans="1:9" x14ac:dyDescent="0.3">
      <c r="A1357" s="48" t="s">
        <v>57</v>
      </c>
      <c r="C1357">
        <v>1000</v>
      </c>
      <c r="D1357">
        <v>-6000</v>
      </c>
      <c r="E1357">
        <v>-3000</v>
      </c>
      <c r="F1357">
        <v>7000</v>
      </c>
      <c r="G1357">
        <v>-15000</v>
      </c>
      <c r="H1357">
        <v>-15000</v>
      </c>
      <c r="I1357">
        <v>-15000</v>
      </c>
    </row>
    <row r="1358" spans="1:9" x14ac:dyDescent="0.3">
      <c r="A1358" s="48" t="s">
        <v>58</v>
      </c>
      <c r="C1358">
        <v>2000</v>
      </c>
      <c r="D1358">
        <v>-7000</v>
      </c>
      <c r="E1358">
        <v>-4000</v>
      </c>
      <c r="F1358">
        <v>6000</v>
      </c>
      <c r="G1358">
        <v>-16000</v>
      </c>
      <c r="H1358">
        <v>-16000</v>
      </c>
      <c r="I1358">
        <v>-16000</v>
      </c>
    </row>
    <row r="1359" spans="1:9" x14ac:dyDescent="0.3">
      <c r="A1359" s="15" t="s">
        <v>48</v>
      </c>
    </row>
    <row r="1360" spans="1:9" x14ac:dyDescent="0.3">
      <c r="A1360" s="48" t="s">
        <v>35</v>
      </c>
      <c r="C1360">
        <v>-8000</v>
      </c>
      <c r="D1360">
        <v>4000</v>
      </c>
      <c r="E1360">
        <v>4000</v>
      </c>
      <c r="F1360">
        <v>14000</v>
      </c>
      <c r="G1360">
        <v>-8000</v>
      </c>
      <c r="H1360">
        <v>-8000</v>
      </c>
      <c r="I1360">
        <v>-8000</v>
      </c>
    </row>
    <row r="1361" spans="1:9" x14ac:dyDescent="0.3">
      <c r="A1361" s="48" t="s">
        <v>41</v>
      </c>
      <c r="C1361">
        <v>-7000</v>
      </c>
      <c r="D1361">
        <v>3000</v>
      </c>
      <c r="E1361">
        <v>3000</v>
      </c>
      <c r="F1361">
        <v>13000</v>
      </c>
      <c r="G1361">
        <v>-9000</v>
      </c>
      <c r="H1361">
        <v>-9000</v>
      </c>
      <c r="I1361">
        <v>-9000</v>
      </c>
    </row>
    <row r="1362" spans="1:9" x14ac:dyDescent="0.3">
      <c r="A1362" s="48" t="s">
        <v>42</v>
      </c>
      <c r="C1362">
        <v>-6000</v>
      </c>
      <c r="D1362">
        <v>2000</v>
      </c>
      <c r="E1362">
        <v>2000</v>
      </c>
      <c r="F1362">
        <v>12000</v>
      </c>
      <c r="G1362">
        <v>-10000</v>
      </c>
      <c r="H1362">
        <v>-10000</v>
      </c>
      <c r="I1362">
        <v>-10000</v>
      </c>
    </row>
    <row r="1363" spans="1:9" x14ac:dyDescent="0.3">
      <c r="A1363" s="48" t="s">
        <v>43</v>
      </c>
      <c r="C1363">
        <v>-5000</v>
      </c>
      <c r="D1363">
        <v>1000</v>
      </c>
      <c r="E1363">
        <v>1000</v>
      </c>
      <c r="F1363">
        <v>11000</v>
      </c>
      <c r="G1363">
        <v>-11000</v>
      </c>
      <c r="H1363">
        <v>-11000</v>
      </c>
      <c r="I1363">
        <v>-11000</v>
      </c>
    </row>
    <row r="1364" spans="1:9" x14ac:dyDescent="0.3">
      <c r="A1364" s="48" t="s">
        <v>44</v>
      </c>
      <c r="C1364">
        <v>-4000</v>
      </c>
      <c r="D1364">
        <v>0</v>
      </c>
      <c r="E1364">
        <v>0</v>
      </c>
      <c r="F1364">
        <v>10000</v>
      </c>
      <c r="G1364">
        <v>-12000</v>
      </c>
      <c r="H1364">
        <v>-12000</v>
      </c>
      <c r="I1364">
        <v>-12000</v>
      </c>
    </row>
    <row r="1365" spans="1:9" x14ac:dyDescent="0.3">
      <c r="A1365" s="48" t="s">
        <v>54</v>
      </c>
      <c r="C1365">
        <v>-3000</v>
      </c>
      <c r="D1365">
        <v>-1000</v>
      </c>
      <c r="E1365">
        <v>-1000</v>
      </c>
      <c r="F1365">
        <v>9000</v>
      </c>
      <c r="G1365">
        <v>-13000</v>
      </c>
      <c r="H1365">
        <v>-13000</v>
      </c>
      <c r="I1365">
        <v>-13000</v>
      </c>
    </row>
    <row r="1366" spans="1:9" x14ac:dyDescent="0.3">
      <c r="A1366" s="48" t="s">
        <v>55</v>
      </c>
      <c r="C1366">
        <v>-2000</v>
      </c>
      <c r="D1366">
        <v>-2000</v>
      </c>
      <c r="E1366">
        <v>-2000</v>
      </c>
      <c r="F1366">
        <v>8000</v>
      </c>
      <c r="G1366">
        <v>-14000</v>
      </c>
      <c r="H1366">
        <v>-14000</v>
      </c>
      <c r="I1366">
        <v>-14000</v>
      </c>
    </row>
    <row r="1367" spans="1:9" x14ac:dyDescent="0.3">
      <c r="A1367" s="48" t="s">
        <v>56</v>
      </c>
      <c r="C1367">
        <v>-1000</v>
      </c>
      <c r="D1367">
        <v>-3000</v>
      </c>
      <c r="E1367">
        <v>-3000</v>
      </c>
      <c r="F1367">
        <v>7000</v>
      </c>
      <c r="G1367">
        <v>-15000</v>
      </c>
      <c r="H1367">
        <v>-15000</v>
      </c>
      <c r="I1367">
        <v>-15000</v>
      </c>
    </row>
    <row r="1368" spans="1:9" x14ac:dyDescent="0.3">
      <c r="A1368" s="48" t="s">
        <v>57</v>
      </c>
      <c r="C1368">
        <v>0</v>
      </c>
      <c r="D1368">
        <v>-4000</v>
      </c>
      <c r="E1368">
        <v>-4000</v>
      </c>
      <c r="F1368">
        <v>6000</v>
      </c>
      <c r="G1368">
        <v>-16000</v>
      </c>
      <c r="H1368">
        <v>-16000</v>
      </c>
      <c r="I1368">
        <v>-16000</v>
      </c>
    </row>
    <row r="1369" spans="1:9" x14ac:dyDescent="0.3">
      <c r="A1369" s="48" t="s">
        <v>58</v>
      </c>
      <c r="C1369">
        <v>1000</v>
      </c>
      <c r="D1369">
        <v>-5000</v>
      </c>
      <c r="E1369">
        <v>-5000</v>
      </c>
      <c r="F1369">
        <v>5000</v>
      </c>
      <c r="G1369">
        <v>-17000</v>
      </c>
      <c r="H1369">
        <v>-17000</v>
      </c>
      <c r="I1369">
        <v>-17000</v>
      </c>
    </row>
    <row r="1370" spans="1:9" x14ac:dyDescent="0.3">
      <c r="A1370" s="15" t="s">
        <v>59</v>
      </c>
    </row>
    <row r="1371" spans="1:9" x14ac:dyDescent="0.3">
      <c r="A1371" s="48" t="s">
        <v>35</v>
      </c>
      <c r="C1371">
        <v>-9000</v>
      </c>
      <c r="D1371">
        <v>6000</v>
      </c>
      <c r="E1371">
        <v>3000</v>
      </c>
      <c r="F1371">
        <v>13000</v>
      </c>
      <c r="G1371">
        <v>-9000</v>
      </c>
      <c r="H1371">
        <v>-9000</v>
      </c>
      <c r="I1371">
        <v>-9000</v>
      </c>
    </row>
    <row r="1372" spans="1:9" x14ac:dyDescent="0.3">
      <c r="A1372" s="48" t="s">
        <v>41</v>
      </c>
      <c r="C1372">
        <v>-8000</v>
      </c>
      <c r="D1372">
        <v>5000</v>
      </c>
      <c r="E1372">
        <v>2000</v>
      </c>
      <c r="F1372">
        <v>12000</v>
      </c>
      <c r="G1372">
        <v>-10000</v>
      </c>
      <c r="H1372">
        <v>-10000</v>
      </c>
      <c r="I1372">
        <v>-10000</v>
      </c>
    </row>
    <row r="1373" spans="1:9" x14ac:dyDescent="0.3">
      <c r="A1373" s="48" t="s">
        <v>42</v>
      </c>
      <c r="C1373">
        <v>-7000</v>
      </c>
      <c r="D1373">
        <v>4000</v>
      </c>
      <c r="E1373">
        <v>1000</v>
      </c>
      <c r="F1373">
        <v>11000</v>
      </c>
      <c r="G1373">
        <v>-11000</v>
      </c>
      <c r="H1373">
        <v>-11000</v>
      </c>
      <c r="I1373">
        <v>-11000</v>
      </c>
    </row>
    <row r="1374" spans="1:9" x14ac:dyDescent="0.3">
      <c r="A1374" s="48" t="s">
        <v>43</v>
      </c>
      <c r="C1374">
        <v>-6000</v>
      </c>
      <c r="D1374">
        <v>3000</v>
      </c>
      <c r="E1374">
        <v>0</v>
      </c>
      <c r="F1374">
        <v>10000</v>
      </c>
      <c r="G1374">
        <v>-12000</v>
      </c>
      <c r="H1374">
        <v>-12000</v>
      </c>
      <c r="I1374">
        <v>-12000</v>
      </c>
    </row>
    <row r="1375" spans="1:9" x14ac:dyDescent="0.3">
      <c r="A1375" s="48" t="s">
        <v>44</v>
      </c>
      <c r="C1375">
        <v>-5000</v>
      </c>
      <c r="D1375">
        <v>2000</v>
      </c>
      <c r="E1375">
        <v>-1000</v>
      </c>
      <c r="F1375">
        <v>9000</v>
      </c>
      <c r="G1375">
        <v>-13000</v>
      </c>
      <c r="H1375">
        <v>-13000</v>
      </c>
      <c r="I1375">
        <v>-13000</v>
      </c>
    </row>
    <row r="1376" spans="1:9" x14ac:dyDescent="0.3">
      <c r="A1376" s="48" t="s">
        <v>54</v>
      </c>
      <c r="C1376">
        <v>-4000</v>
      </c>
      <c r="D1376">
        <v>1000</v>
      </c>
      <c r="E1376">
        <v>-2000</v>
      </c>
      <c r="F1376">
        <v>8000</v>
      </c>
      <c r="G1376">
        <v>-14000</v>
      </c>
      <c r="H1376">
        <v>-14000</v>
      </c>
      <c r="I1376">
        <v>-14000</v>
      </c>
    </row>
    <row r="1377" spans="1:9" x14ac:dyDescent="0.3">
      <c r="A1377" s="48" t="s">
        <v>55</v>
      </c>
      <c r="C1377">
        <v>-3000</v>
      </c>
      <c r="D1377">
        <v>0</v>
      </c>
      <c r="E1377">
        <v>-3000</v>
      </c>
      <c r="F1377">
        <v>7000</v>
      </c>
      <c r="G1377">
        <v>-15000</v>
      </c>
      <c r="H1377">
        <v>-15000</v>
      </c>
      <c r="I1377">
        <v>-15000</v>
      </c>
    </row>
    <row r="1378" spans="1:9" x14ac:dyDescent="0.3">
      <c r="A1378" s="48" t="s">
        <v>56</v>
      </c>
      <c r="C1378">
        <v>-2000</v>
      </c>
      <c r="D1378">
        <v>-1000</v>
      </c>
      <c r="E1378">
        <v>-4000</v>
      </c>
      <c r="F1378">
        <v>6000</v>
      </c>
      <c r="G1378">
        <v>-16000</v>
      </c>
      <c r="H1378">
        <v>-16000</v>
      </c>
      <c r="I1378">
        <v>-16000</v>
      </c>
    </row>
    <row r="1379" spans="1:9" x14ac:dyDescent="0.3">
      <c r="A1379" s="48" t="s">
        <v>57</v>
      </c>
      <c r="C1379">
        <v>-1000</v>
      </c>
      <c r="D1379">
        <v>-2000</v>
      </c>
      <c r="E1379">
        <v>-5000</v>
      </c>
      <c r="F1379">
        <v>5000</v>
      </c>
      <c r="G1379">
        <v>-17000</v>
      </c>
      <c r="H1379">
        <v>-17000</v>
      </c>
      <c r="I1379">
        <v>-17000</v>
      </c>
    </row>
    <row r="1380" spans="1:9" x14ac:dyDescent="0.3">
      <c r="A1380" s="48" t="s">
        <v>58</v>
      </c>
      <c r="C1380">
        <v>0</v>
      </c>
      <c r="D1380">
        <v>-3000</v>
      </c>
      <c r="E1380">
        <v>-6000</v>
      </c>
      <c r="F1380">
        <v>4000</v>
      </c>
      <c r="G1380">
        <v>-18000</v>
      </c>
      <c r="H1380">
        <v>-18000</v>
      </c>
      <c r="I1380">
        <v>-18000</v>
      </c>
    </row>
    <row r="1381" spans="1:9" x14ac:dyDescent="0.3">
      <c r="A1381" s="15" t="s">
        <v>60</v>
      </c>
    </row>
    <row r="1382" spans="1:9" x14ac:dyDescent="0.3">
      <c r="A1382" s="48" t="s">
        <v>35</v>
      </c>
      <c r="C1382">
        <v>-10000</v>
      </c>
      <c r="D1382">
        <v>8000</v>
      </c>
      <c r="E1382">
        <v>2000</v>
      </c>
      <c r="F1382">
        <v>12000</v>
      </c>
      <c r="G1382">
        <v>-10000</v>
      </c>
      <c r="H1382">
        <v>-10000</v>
      </c>
      <c r="I1382">
        <v>-10000</v>
      </c>
    </row>
    <row r="1383" spans="1:9" x14ac:dyDescent="0.3">
      <c r="A1383" s="48" t="s">
        <v>41</v>
      </c>
      <c r="C1383">
        <v>-9000</v>
      </c>
      <c r="D1383">
        <v>7000</v>
      </c>
      <c r="E1383">
        <v>1000</v>
      </c>
      <c r="F1383">
        <v>11000</v>
      </c>
      <c r="G1383">
        <v>-11000</v>
      </c>
      <c r="H1383">
        <v>-11000</v>
      </c>
      <c r="I1383">
        <v>-11000</v>
      </c>
    </row>
    <row r="1384" spans="1:9" x14ac:dyDescent="0.3">
      <c r="A1384" s="48" t="s">
        <v>42</v>
      </c>
      <c r="C1384">
        <v>-8000</v>
      </c>
      <c r="D1384">
        <v>6000</v>
      </c>
      <c r="E1384">
        <v>0</v>
      </c>
      <c r="F1384">
        <v>10000</v>
      </c>
      <c r="G1384">
        <v>-12000</v>
      </c>
      <c r="H1384">
        <v>-12000</v>
      </c>
      <c r="I1384">
        <v>-12000</v>
      </c>
    </row>
    <row r="1385" spans="1:9" x14ac:dyDescent="0.3">
      <c r="A1385" s="48" t="s">
        <v>43</v>
      </c>
      <c r="C1385">
        <v>-7000</v>
      </c>
      <c r="D1385">
        <v>5000</v>
      </c>
      <c r="E1385">
        <v>-1000</v>
      </c>
      <c r="F1385">
        <v>9000</v>
      </c>
      <c r="G1385">
        <v>-13000</v>
      </c>
      <c r="H1385">
        <v>-13000</v>
      </c>
      <c r="I1385">
        <v>-13000</v>
      </c>
    </row>
    <row r="1386" spans="1:9" x14ac:dyDescent="0.3">
      <c r="A1386" s="48" t="s">
        <v>44</v>
      </c>
      <c r="C1386">
        <v>-6000</v>
      </c>
      <c r="D1386">
        <v>4000</v>
      </c>
      <c r="E1386">
        <v>-2000</v>
      </c>
      <c r="F1386">
        <v>8000</v>
      </c>
      <c r="G1386">
        <v>-14000</v>
      </c>
      <c r="H1386">
        <v>-14000</v>
      </c>
      <c r="I1386">
        <v>-14000</v>
      </c>
    </row>
    <row r="1387" spans="1:9" x14ac:dyDescent="0.3">
      <c r="A1387" s="48" t="s">
        <v>54</v>
      </c>
      <c r="C1387">
        <v>-5000</v>
      </c>
      <c r="D1387">
        <v>3000</v>
      </c>
      <c r="E1387">
        <v>-3000</v>
      </c>
      <c r="F1387">
        <v>7000</v>
      </c>
      <c r="G1387">
        <v>-15000</v>
      </c>
      <c r="H1387">
        <v>-15000</v>
      </c>
      <c r="I1387">
        <v>-15000</v>
      </c>
    </row>
    <row r="1388" spans="1:9" x14ac:dyDescent="0.3">
      <c r="A1388" s="48" t="s">
        <v>55</v>
      </c>
      <c r="C1388">
        <v>-4000</v>
      </c>
      <c r="D1388">
        <v>2000</v>
      </c>
      <c r="E1388">
        <v>-4000</v>
      </c>
      <c r="F1388">
        <v>6000</v>
      </c>
      <c r="G1388">
        <v>-16000</v>
      </c>
      <c r="H1388">
        <v>-16000</v>
      </c>
      <c r="I1388">
        <v>-16000</v>
      </c>
    </row>
    <row r="1389" spans="1:9" x14ac:dyDescent="0.3">
      <c r="A1389" s="48" t="s">
        <v>56</v>
      </c>
      <c r="C1389">
        <v>-3000</v>
      </c>
      <c r="D1389">
        <v>1000</v>
      </c>
      <c r="E1389">
        <v>-5000</v>
      </c>
      <c r="F1389">
        <v>5000</v>
      </c>
      <c r="G1389">
        <v>-17000</v>
      </c>
      <c r="H1389">
        <v>-17000</v>
      </c>
      <c r="I1389">
        <v>-17000</v>
      </c>
    </row>
    <row r="1390" spans="1:9" x14ac:dyDescent="0.3">
      <c r="A1390" s="48" t="s">
        <v>57</v>
      </c>
      <c r="C1390">
        <v>-2000</v>
      </c>
      <c r="D1390">
        <v>0</v>
      </c>
      <c r="E1390">
        <v>-6000</v>
      </c>
      <c r="F1390">
        <v>4000</v>
      </c>
      <c r="G1390">
        <v>-18000</v>
      </c>
      <c r="H1390">
        <v>-18000</v>
      </c>
      <c r="I1390">
        <v>-18000</v>
      </c>
    </row>
    <row r="1391" spans="1:9" x14ac:dyDescent="0.3">
      <c r="A1391" s="48" t="s">
        <v>58</v>
      </c>
      <c r="C1391">
        <v>-1000</v>
      </c>
      <c r="D1391">
        <v>-1000</v>
      </c>
      <c r="E1391">
        <v>-7000</v>
      </c>
      <c r="F1391">
        <v>3000</v>
      </c>
      <c r="G1391">
        <v>-19000</v>
      </c>
      <c r="H1391">
        <v>-19000</v>
      </c>
      <c r="I1391">
        <v>-19000</v>
      </c>
    </row>
    <row r="1392" spans="1:9" x14ac:dyDescent="0.3">
      <c r="A1392" s="15" t="s">
        <v>61</v>
      </c>
    </row>
    <row r="1393" spans="1:9" x14ac:dyDescent="0.3">
      <c r="A1393" s="48" t="s">
        <v>35</v>
      </c>
      <c r="C1393">
        <v>-11000</v>
      </c>
      <c r="D1393">
        <v>10000</v>
      </c>
      <c r="E1393">
        <v>1000</v>
      </c>
      <c r="F1393">
        <v>11000</v>
      </c>
      <c r="G1393">
        <v>-11000</v>
      </c>
      <c r="H1393">
        <v>-11000</v>
      </c>
      <c r="I1393">
        <v>-11000</v>
      </c>
    </row>
    <row r="1394" spans="1:9" x14ac:dyDescent="0.3">
      <c r="A1394" s="48" t="s">
        <v>41</v>
      </c>
      <c r="C1394">
        <v>-10000</v>
      </c>
      <c r="D1394">
        <v>9000</v>
      </c>
      <c r="E1394">
        <v>0</v>
      </c>
      <c r="F1394">
        <v>10000</v>
      </c>
      <c r="G1394">
        <v>-12000</v>
      </c>
      <c r="H1394">
        <v>-12000</v>
      </c>
      <c r="I1394">
        <v>-12000</v>
      </c>
    </row>
    <row r="1395" spans="1:9" x14ac:dyDescent="0.3">
      <c r="A1395" s="48" t="s">
        <v>42</v>
      </c>
      <c r="C1395">
        <v>-9000</v>
      </c>
      <c r="D1395">
        <v>8000</v>
      </c>
      <c r="E1395">
        <v>-1000</v>
      </c>
      <c r="F1395">
        <v>9000</v>
      </c>
      <c r="G1395">
        <v>-13000</v>
      </c>
      <c r="H1395">
        <v>-13000</v>
      </c>
      <c r="I1395">
        <v>-13000</v>
      </c>
    </row>
    <row r="1396" spans="1:9" x14ac:dyDescent="0.3">
      <c r="A1396" s="48" t="s">
        <v>43</v>
      </c>
      <c r="C1396">
        <v>-8000</v>
      </c>
      <c r="D1396">
        <v>7000</v>
      </c>
      <c r="E1396">
        <v>-2000</v>
      </c>
      <c r="F1396">
        <v>8000</v>
      </c>
      <c r="G1396">
        <v>-14000</v>
      </c>
      <c r="H1396">
        <v>-14000</v>
      </c>
      <c r="I1396">
        <v>-14000</v>
      </c>
    </row>
    <row r="1397" spans="1:9" x14ac:dyDescent="0.3">
      <c r="A1397" s="48" t="s">
        <v>44</v>
      </c>
      <c r="C1397">
        <v>-7000</v>
      </c>
      <c r="D1397">
        <v>6000</v>
      </c>
      <c r="E1397">
        <v>-3000</v>
      </c>
      <c r="F1397">
        <v>7000</v>
      </c>
      <c r="G1397">
        <v>-15000</v>
      </c>
      <c r="H1397">
        <v>-15000</v>
      </c>
      <c r="I1397">
        <v>-15000</v>
      </c>
    </row>
    <row r="1398" spans="1:9" x14ac:dyDescent="0.3">
      <c r="A1398" s="48" t="s">
        <v>54</v>
      </c>
      <c r="C1398">
        <v>-6000</v>
      </c>
      <c r="D1398">
        <v>5000</v>
      </c>
      <c r="E1398">
        <v>-4000</v>
      </c>
      <c r="F1398">
        <v>6000</v>
      </c>
      <c r="G1398">
        <v>-16000</v>
      </c>
      <c r="H1398">
        <v>-16000</v>
      </c>
      <c r="I1398">
        <v>-16000</v>
      </c>
    </row>
    <row r="1399" spans="1:9" x14ac:dyDescent="0.3">
      <c r="A1399" s="48" t="s">
        <v>55</v>
      </c>
      <c r="C1399">
        <v>-5000</v>
      </c>
      <c r="D1399">
        <v>4000</v>
      </c>
      <c r="E1399">
        <v>-5000</v>
      </c>
      <c r="F1399">
        <v>5000</v>
      </c>
      <c r="G1399">
        <v>-17000</v>
      </c>
      <c r="H1399">
        <v>-17000</v>
      </c>
      <c r="I1399">
        <v>-17000</v>
      </c>
    </row>
    <row r="1400" spans="1:9" x14ac:dyDescent="0.3">
      <c r="A1400" s="48" t="s">
        <v>56</v>
      </c>
      <c r="C1400">
        <v>-4000</v>
      </c>
      <c r="D1400">
        <v>3000</v>
      </c>
      <c r="E1400">
        <v>-6000</v>
      </c>
      <c r="F1400">
        <v>4000</v>
      </c>
      <c r="G1400">
        <v>-18000</v>
      </c>
      <c r="H1400">
        <v>-18000</v>
      </c>
      <c r="I1400">
        <v>-18000</v>
      </c>
    </row>
    <row r="1401" spans="1:9" x14ac:dyDescent="0.3">
      <c r="A1401" s="48" t="s">
        <v>57</v>
      </c>
      <c r="C1401">
        <v>-3000</v>
      </c>
      <c r="D1401">
        <v>2000</v>
      </c>
      <c r="E1401">
        <v>-7000</v>
      </c>
      <c r="F1401">
        <v>3000</v>
      </c>
      <c r="G1401">
        <v>-19000</v>
      </c>
      <c r="H1401">
        <v>-19000</v>
      </c>
      <c r="I1401">
        <v>-19000</v>
      </c>
    </row>
    <row r="1402" spans="1:9" x14ac:dyDescent="0.3">
      <c r="A1402" s="48" t="s">
        <v>58</v>
      </c>
      <c r="C1402">
        <v>-2000</v>
      </c>
      <c r="D1402">
        <v>1000</v>
      </c>
      <c r="E1402">
        <v>-8000</v>
      </c>
      <c r="F1402">
        <v>2000</v>
      </c>
      <c r="G1402">
        <v>-20000</v>
      </c>
      <c r="H1402">
        <v>-20000</v>
      </c>
      <c r="I1402">
        <v>-20000</v>
      </c>
    </row>
    <row r="1403" spans="1:9" x14ac:dyDescent="0.3">
      <c r="A1403" s="15" t="s">
        <v>62</v>
      </c>
    </row>
    <row r="1404" spans="1:9" x14ac:dyDescent="0.3">
      <c r="A1404" s="48" t="s">
        <v>35</v>
      </c>
      <c r="C1404">
        <v>-12000</v>
      </c>
      <c r="D1404">
        <v>12000</v>
      </c>
      <c r="E1404">
        <v>0</v>
      </c>
      <c r="F1404">
        <v>10000</v>
      </c>
      <c r="G1404">
        <v>-12000</v>
      </c>
      <c r="H1404">
        <v>-12000</v>
      </c>
      <c r="I1404">
        <v>-12000</v>
      </c>
    </row>
    <row r="1405" spans="1:9" x14ac:dyDescent="0.3">
      <c r="A1405" s="48" t="s">
        <v>41</v>
      </c>
      <c r="C1405">
        <v>-11000</v>
      </c>
      <c r="D1405">
        <v>11000</v>
      </c>
      <c r="E1405">
        <v>-1000</v>
      </c>
      <c r="F1405">
        <v>9000</v>
      </c>
      <c r="G1405">
        <v>-13000</v>
      </c>
      <c r="H1405">
        <v>-13000</v>
      </c>
      <c r="I1405">
        <v>-13000</v>
      </c>
    </row>
    <row r="1406" spans="1:9" x14ac:dyDescent="0.3">
      <c r="A1406" s="48" t="s">
        <v>42</v>
      </c>
      <c r="C1406">
        <v>-10000</v>
      </c>
      <c r="D1406">
        <v>10000</v>
      </c>
      <c r="E1406">
        <v>-2000</v>
      </c>
      <c r="F1406">
        <v>8000</v>
      </c>
      <c r="G1406">
        <v>-14000</v>
      </c>
      <c r="H1406">
        <v>-14000</v>
      </c>
      <c r="I1406">
        <v>-14000</v>
      </c>
    </row>
    <row r="1407" spans="1:9" x14ac:dyDescent="0.3">
      <c r="A1407" s="48" t="s">
        <v>43</v>
      </c>
      <c r="C1407">
        <v>-9000</v>
      </c>
      <c r="D1407">
        <v>9000</v>
      </c>
      <c r="E1407">
        <v>-3000</v>
      </c>
      <c r="F1407">
        <v>7000</v>
      </c>
      <c r="G1407">
        <v>-15000</v>
      </c>
      <c r="H1407">
        <v>-15000</v>
      </c>
      <c r="I1407">
        <v>-15000</v>
      </c>
    </row>
    <row r="1408" spans="1:9" x14ac:dyDescent="0.3">
      <c r="A1408" s="48" t="s">
        <v>44</v>
      </c>
      <c r="C1408">
        <v>-8000</v>
      </c>
      <c r="D1408">
        <v>8000</v>
      </c>
      <c r="E1408">
        <v>-4000</v>
      </c>
      <c r="F1408">
        <v>6000</v>
      </c>
      <c r="G1408">
        <v>-16000</v>
      </c>
      <c r="H1408">
        <v>-16000</v>
      </c>
      <c r="I1408">
        <v>-16000</v>
      </c>
    </row>
    <row r="1409" spans="1:9" x14ac:dyDescent="0.3">
      <c r="A1409" s="48" t="s">
        <v>54</v>
      </c>
      <c r="C1409">
        <v>-7000</v>
      </c>
      <c r="D1409">
        <v>7000</v>
      </c>
      <c r="E1409">
        <v>-5000</v>
      </c>
      <c r="F1409">
        <v>5000</v>
      </c>
      <c r="G1409">
        <v>-17000</v>
      </c>
      <c r="H1409">
        <v>-17000</v>
      </c>
      <c r="I1409">
        <v>-17000</v>
      </c>
    </row>
    <row r="1410" spans="1:9" x14ac:dyDescent="0.3">
      <c r="A1410" s="48" t="s">
        <v>55</v>
      </c>
      <c r="C1410">
        <v>-6000</v>
      </c>
      <c r="D1410">
        <v>6000</v>
      </c>
      <c r="E1410">
        <v>-6000</v>
      </c>
      <c r="F1410">
        <v>4000</v>
      </c>
      <c r="G1410">
        <v>-18000</v>
      </c>
      <c r="H1410">
        <v>-18000</v>
      </c>
      <c r="I1410">
        <v>-18000</v>
      </c>
    </row>
    <row r="1411" spans="1:9" x14ac:dyDescent="0.3">
      <c r="A1411" s="48" t="s">
        <v>56</v>
      </c>
      <c r="C1411">
        <v>-5000</v>
      </c>
      <c r="D1411">
        <v>5000</v>
      </c>
      <c r="E1411">
        <v>-7000</v>
      </c>
      <c r="F1411">
        <v>3000</v>
      </c>
      <c r="G1411">
        <v>-19000</v>
      </c>
      <c r="H1411">
        <v>-19000</v>
      </c>
      <c r="I1411">
        <v>-19000</v>
      </c>
    </row>
    <row r="1412" spans="1:9" x14ac:dyDescent="0.3">
      <c r="A1412" s="48" t="s">
        <v>57</v>
      </c>
      <c r="C1412">
        <v>-4000</v>
      </c>
      <c r="D1412">
        <v>4000</v>
      </c>
      <c r="E1412">
        <v>-8000</v>
      </c>
      <c r="F1412">
        <v>2000</v>
      </c>
      <c r="G1412">
        <v>-20000</v>
      </c>
      <c r="H1412">
        <v>-20000</v>
      </c>
      <c r="I1412">
        <v>-20000</v>
      </c>
    </row>
    <row r="1413" spans="1:9" x14ac:dyDescent="0.3">
      <c r="A1413" s="48" t="s">
        <v>58</v>
      </c>
      <c r="C1413">
        <v>-3000</v>
      </c>
      <c r="D1413">
        <v>3000</v>
      </c>
      <c r="E1413">
        <v>-9000</v>
      </c>
      <c r="F1413">
        <v>1000</v>
      </c>
      <c r="G1413">
        <v>-21000</v>
      </c>
      <c r="H1413">
        <v>-21000</v>
      </c>
      <c r="I1413">
        <v>-21000</v>
      </c>
    </row>
    <row r="1414" spans="1:9" x14ac:dyDescent="0.3">
      <c r="A1414" s="15" t="s">
        <v>63</v>
      </c>
    </row>
    <row r="1415" spans="1:9" x14ac:dyDescent="0.3">
      <c r="A1415" s="48" t="s">
        <v>35</v>
      </c>
      <c r="C1415">
        <v>-13000</v>
      </c>
      <c r="D1415">
        <v>14000</v>
      </c>
      <c r="E1415">
        <v>-1000</v>
      </c>
      <c r="F1415">
        <v>9000</v>
      </c>
      <c r="G1415">
        <v>-13000</v>
      </c>
      <c r="H1415">
        <v>-13000</v>
      </c>
      <c r="I1415">
        <v>-13000</v>
      </c>
    </row>
    <row r="1416" spans="1:9" x14ac:dyDescent="0.3">
      <c r="A1416" s="48" t="s">
        <v>41</v>
      </c>
      <c r="C1416">
        <v>-12000</v>
      </c>
      <c r="D1416">
        <v>13000</v>
      </c>
      <c r="E1416">
        <v>-2000</v>
      </c>
      <c r="F1416">
        <v>8000</v>
      </c>
      <c r="G1416">
        <v>-14000</v>
      </c>
      <c r="H1416">
        <v>-14000</v>
      </c>
      <c r="I1416">
        <v>-14000</v>
      </c>
    </row>
    <row r="1417" spans="1:9" x14ac:dyDescent="0.3">
      <c r="A1417" s="48" t="s">
        <v>42</v>
      </c>
      <c r="C1417">
        <v>-11000</v>
      </c>
      <c r="D1417">
        <v>12000</v>
      </c>
      <c r="E1417">
        <v>-3000</v>
      </c>
      <c r="F1417">
        <v>7000</v>
      </c>
      <c r="G1417">
        <v>-15000</v>
      </c>
      <c r="H1417">
        <v>-15000</v>
      </c>
      <c r="I1417">
        <v>-15000</v>
      </c>
    </row>
    <row r="1418" spans="1:9" x14ac:dyDescent="0.3">
      <c r="A1418" s="48" t="s">
        <v>43</v>
      </c>
      <c r="C1418">
        <v>-10000</v>
      </c>
      <c r="D1418">
        <v>11000</v>
      </c>
      <c r="E1418">
        <v>-4000</v>
      </c>
      <c r="F1418">
        <v>6000</v>
      </c>
      <c r="G1418">
        <v>-16000</v>
      </c>
      <c r="H1418">
        <v>-16000</v>
      </c>
      <c r="I1418">
        <v>-16000</v>
      </c>
    </row>
    <row r="1419" spans="1:9" x14ac:dyDescent="0.3">
      <c r="A1419" s="48" t="s">
        <v>44</v>
      </c>
      <c r="C1419">
        <v>-9000</v>
      </c>
      <c r="D1419">
        <v>10000</v>
      </c>
      <c r="E1419">
        <v>-5000</v>
      </c>
      <c r="F1419">
        <v>5000</v>
      </c>
      <c r="G1419">
        <v>-17000</v>
      </c>
      <c r="H1419">
        <v>-17000</v>
      </c>
      <c r="I1419">
        <v>-17000</v>
      </c>
    </row>
    <row r="1420" spans="1:9" x14ac:dyDescent="0.3">
      <c r="A1420" s="48" t="s">
        <v>54</v>
      </c>
      <c r="C1420">
        <v>-8000</v>
      </c>
      <c r="D1420">
        <v>9000</v>
      </c>
      <c r="E1420">
        <v>-6000</v>
      </c>
      <c r="F1420">
        <v>4000</v>
      </c>
      <c r="G1420">
        <v>-18000</v>
      </c>
      <c r="H1420">
        <v>-18000</v>
      </c>
      <c r="I1420">
        <v>-18000</v>
      </c>
    </row>
    <row r="1421" spans="1:9" x14ac:dyDescent="0.3">
      <c r="A1421" s="48" t="s">
        <v>55</v>
      </c>
      <c r="C1421">
        <v>-7000</v>
      </c>
      <c r="D1421">
        <v>8000</v>
      </c>
      <c r="E1421">
        <v>-7000</v>
      </c>
      <c r="F1421">
        <v>3000</v>
      </c>
      <c r="G1421">
        <v>-19000</v>
      </c>
      <c r="H1421">
        <v>-19000</v>
      </c>
      <c r="I1421">
        <v>-19000</v>
      </c>
    </row>
    <row r="1422" spans="1:9" x14ac:dyDescent="0.3">
      <c r="A1422" s="48" t="s">
        <v>56</v>
      </c>
      <c r="C1422">
        <v>-6000</v>
      </c>
      <c r="D1422">
        <v>7000</v>
      </c>
      <c r="E1422">
        <v>-8000</v>
      </c>
      <c r="F1422">
        <v>2000</v>
      </c>
      <c r="G1422">
        <v>-20000</v>
      </c>
      <c r="H1422">
        <v>-20000</v>
      </c>
      <c r="I1422">
        <v>-20000</v>
      </c>
    </row>
    <row r="1423" spans="1:9" x14ac:dyDescent="0.3">
      <c r="A1423" s="48" t="s">
        <v>57</v>
      </c>
      <c r="C1423">
        <v>-5000</v>
      </c>
      <c r="D1423">
        <v>6000</v>
      </c>
      <c r="E1423">
        <v>-9000</v>
      </c>
      <c r="F1423">
        <v>1000</v>
      </c>
      <c r="G1423">
        <v>-21000</v>
      </c>
      <c r="H1423">
        <v>-21000</v>
      </c>
      <c r="I1423">
        <v>-21000</v>
      </c>
    </row>
    <row r="1424" spans="1:9" x14ac:dyDescent="0.3">
      <c r="A1424" s="48" t="s">
        <v>58</v>
      </c>
      <c r="C1424">
        <v>-4000</v>
      </c>
      <c r="D1424">
        <v>5000</v>
      </c>
      <c r="E1424">
        <v>-10000</v>
      </c>
      <c r="F1424">
        <v>0</v>
      </c>
      <c r="G1424">
        <v>-22000</v>
      </c>
      <c r="H1424">
        <v>-22000</v>
      </c>
      <c r="I1424">
        <v>-22000</v>
      </c>
    </row>
    <row r="1425" spans="1:9" x14ac:dyDescent="0.3">
      <c r="A1425" s="14" t="s">
        <v>51</v>
      </c>
    </row>
    <row r="1426" spans="1:9" x14ac:dyDescent="0.3">
      <c r="A1426" s="15" t="s">
        <v>34</v>
      </c>
    </row>
    <row r="1427" spans="1:9" x14ac:dyDescent="0.3">
      <c r="A1427" s="48" t="s">
        <v>35</v>
      </c>
      <c r="C1427">
        <v>-5000</v>
      </c>
      <c r="D1427">
        <v>-5000</v>
      </c>
      <c r="E1427">
        <v>13000</v>
      </c>
      <c r="F1427">
        <v>17000</v>
      </c>
      <c r="G1427">
        <v>-5000</v>
      </c>
      <c r="H1427">
        <v>-5000</v>
      </c>
      <c r="I1427">
        <v>-5000</v>
      </c>
    </row>
    <row r="1428" spans="1:9" x14ac:dyDescent="0.3">
      <c r="A1428" s="48" t="s">
        <v>41</v>
      </c>
      <c r="C1428">
        <v>-4000</v>
      </c>
      <c r="D1428">
        <v>-6000</v>
      </c>
      <c r="E1428">
        <v>12000</v>
      </c>
      <c r="F1428">
        <v>16000</v>
      </c>
      <c r="G1428">
        <v>-6000</v>
      </c>
      <c r="H1428">
        <v>-6000</v>
      </c>
      <c r="I1428">
        <v>-6000</v>
      </c>
    </row>
    <row r="1429" spans="1:9" x14ac:dyDescent="0.3">
      <c r="A1429" s="48" t="s">
        <v>42</v>
      </c>
      <c r="C1429">
        <v>-3000</v>
      </c>
      <c r="D1429">
        <v>-7000</v>
      </c>
      <c r="E1429">
        <v>11000</v>
      </c>
      <c r="F1429">
        <v>15000</v>
      </c>
      <c r="G1429">
        <v>-7000</v>
      </c>
      <c r="H1429">
        <v>-7000</v>
      </c>
      <c r="I1429">
        <v>-7000</v>
      </c>
    </row>
    <row r="1430" spans="1:9" x14ac:dyDescent="0.3">
      <c r="A1430" s="48" t="s">
        <v>43</v>
      </c>
      <c r="C1430">
        <v>-2000</v>
      </c>
      <c r="D1430">
        <v>-8000</v>
      </c>
      <c r="E1430">
        <v>10000</v>
      </c>
      <c r="F1430">
        <v>14000</v>
      </c>
      <c r="G1430">
        <v>-8000</v>
      </c>
      <c r="H1430">
        <v>-8000</v>
      </c>
      <c r="I1430">
        <v>-8000</v>
      </c>
    </row>
    <row r="1431" spans="1:9" x14ac:dyDescent="0.3">
      <c r="A1431" s="48" t="s">
        <v>44</v>
      </c>
      <c r="C1431">
        <v>-1000</v>
      </c>
      <c r="D1431">
        <v>-9000</v>
      </c>
      <c r="E1431">
        <v>9000</v>
      </c>
      <c r="F1431">
        <v>13000</v>
      </c>
      <c r="G1431">
        <v>-9000</v>
      </c>
      <c r="H1431">
        <v>-9000</v>
      </c>
      <c r="I1431">
        <v>-9000</v>
      </c>
    </row>
    <row r="1432" spans="1:9" x14ac:dyDescent="0.3">
      <c r="A1432" s="48" t="s">
        <v>54</v>
      </c>
      <c r="C1432">
        <v>0</v>
      </c>
      <c r="D1432">
        <v>-10000</v>
      </c>
      <c r="E1432">
        <v>8000</v>
      </c>
      <c r="F1432">
        <v>12000</v>
      </c>
      <c r="G1432">
        <v>-10000</v>
      </c>
      <c r="H1432">
        <v>-10000</v>
      </c>
      <c r="I1432">
        <v>-10000</v>
      </c>
    </row>
    <row r="1433" spans="1:9" x14ac:dyDescent="0.3">
      <c r="A1433" s="48" t="s">
        <v>55</v>
      </c>
      <c r="C1433">
        <v>1000</v>
      </c>
      <c r="D1433">
        <v>-11000</v>
      </c>
      <c r="E1433">
        <v>7000</v>
      </c>
      <c r="F1433">
        <v>11000</v>
      </c>
      <c r="G1433">
        <v>-11000</v>
      </c>
      <c r="H1433">
        <v>-11000</v>
      </c>
      <c r="I1433">
        <v>-11000</v>
      </c>
    </row>
    <row r="1434" spans="1:9" x14ac:dyDescent="0.3">
      <c r="A1434" s="48" t="s">
        <v>56</v>
      </c>
      <c r="C1434">
        <v>2000</v>
      </c>
      <c r="D1434">
        <v>-12000</v>
      </c>
      <c r="E1434">
        <v>6000</v>
      </c>
      <c r="F1434">
        <v>10000</v>
      </c>
      <c r="G1434">
        <v>-12000</v>
      </c>
      <c r="H1434">
        <v>-12000</v>
      </c>
      <c r="I1434">
        <v>-12000</v>
      </c>
    </row>
    <row r="1435" spans="1:9" x14ac:dyDescent="0.3">
      <c r="A1435" s="48" t="s">
        <v>57</v>
      </c>
      <c r="C1435">
        <v>3000</v>
      </c>
      <c r="D1435">
        <v>-13000</v>
      </c>
      <c r="E1435">
        <v>5000</v>
      </c>
      <c r="F1435">
        <v>9000</v>
      </c>
      <c r="G1435">
        <v>-13000</v>
      </c>
      <c r="H1435">
        <v>-13000</v>
      </c>
      <c r="I1435">
        <v>-13000</v>
      </c>
    </row>
    <row r="1436" spans="1:9" x14ac:dyDescent="0.3">
      <c r="A1436" s="48" t="s">
        <v>58</v>
      </c>
      <c r="C1436">
        <v>4000</v>
      </c>
      <c r="D1436">
        <v>-14000</v>
      </c>
      <c r="E1436">
        <v>4000</v>
      </c>
      <c r="F1436">
        <v>8000</v>
      </c>
      <c r="G1436">
        <v>-14000</v>
      </c>
      <c r="H1436">
        <v>-14000</v>
      </c>
      <c r="I1436">
        <v>-14000</v>
      </c>
    </row>
    <row r="1437" spans="1:9" x14ac:dyDescent="0.3">
      <c r="A1437" s="15" t="s">
        <v>45</v>
      </c>
    </row>
    <row r="1438" spans="1:9" x14ac:dyDescent="0.3">
      <c r="A1438" s="48" t="s">
        <v>35</v>
      </c>
      <c r="C1438">
        <v>-6000</v>
      </c>
      <c r="D1438">
        <v>-3000</v>
      </c>
      <c r="E1438">
        <v>12000</v>
      </c>
      <c r="F1438">
        <v>16000</v>
      </c>
      <c r="G1438">
        <v>-6000</v>
      </c>
      <c r="H1438">
        <v>-6000</v>
      </c>
      <c r="I1438">
        <v>-6000</v>
      </c>
    </row>
    <row r="1439" spans="1:9" x14ac:dyDescent="0.3">
      <c r="A1439" s="48" t="s">
        <v>41</v>
      </c>
      <c r="C1439">
        <v>-5000</v>
      </c>
      <c r="D1439">
        <v>-4000</v>
      </c>
      <c r="E1439">
        <v>11000</v>
      </c>
      <c r="F1439">
        <v>15000</v>
      </c>
      <c r="G1439">
        <v>-7000</v>
      </c>
      <c r="H1439">
        <v>-7000</v>
      </c>
      <c r="I1439">
        <v>-7000</v>
      </c>
    </row>
    <row r="1440" spans="1:9" x14ac:dyDescent="0.3">
      <c r="A1440" s="48" t="s">
        <v>42</v>
      </c>
      <c r="C1440">
        <v>-4000</v>
      </c>
      <c r="D1440">
        <v>-5000</v>
      </c>
      <c r="E1440">
        <v>10000</v>
      </c>
      <c r="F1440">
        <v>14000</v>
      </c>
      <c r="G1440">
        <v>-8000</v>
      </c>
      <c r="H1440">
        <v>-8000</v>
      </c>
      <c r="I1440">
        <v>-8000</v>
      </c>
    </row>
    <row r="1441" spans="1:9" x14ac:dyDescent="0.3">
      <c r="A1441" s="48" t="s">
        <v>43</v>
      </c>
      <c r="C1441">
        <v>-3000</v>
      </c>
      <c r="D1441">
        <v>-6000</v>
      </c>
      <c r="E1441">
        <v>9000</v>
      </c>
      <c r="F1441">
        <v>13000</v>
      </c>
      <c r="G1441">
        <v>-9000</v>
      </c>
      <c r="H1441">
        <v>-9000</v>
      </c>
      <c r="I1441">
        <v>-9000</v>
      </c>
    </row>
    <row r="1442" spans="1:9" x14ac:dyDescent="0.3">
      <c r="A1442" s="48" t="s">
        <v>44</v>
      </c>
      <c r="C1442">
        <v>-2000</v>
      </c>
      <c r="D1442">
        <v>-7000</v>
      </c>
      <c r="E1442">
        <v>8000</v>
      </c>
      <c r="F1442">
        <v>12000</v>
      </c>
      <c r="G1442">
        <v>-10000</v>
      </c>
      <c r="H1442">
        <v>-10000</v>
      </c>
      <c r="I1442">
        <v>-10000</v>
      </c>
    </row>
    <row r="1443" spans="1:9" x14ac:dyDescent="0.3">
      <c r="A1443" s="48" t="s">
        <v>54</v>
      </c>
      <c r="C1443">
        <v>-1000</v>
      </c>
      <c r="D1443">
        <v>-8000</v>
      </c>
      <c r="E1443">
        <v>7000</v>
      </c>
      <c r="F1443">
        <v>11000</v>
      </c>
      <c r="G1443">
        <v>-11000</v>
      </c>
      <c r="H1443">
        <v>-11000</v>
      </c>
      <c r="I1443">
        <v>-11000</v>
      </c>
    </row>
    <row r="1444" spans="1:9" x14ac:dyDescent="0.3">
      <c r="A1444" s="48" t="s">
        <v>55</v>
      </c>
      <c r="C1444">
        <v>0</v>
      </c>
      <c r="D1444">
        <v>-9000</v>
      </c>
      <c r="E1444">
        <v>6000</v>
      </c>
      <c r="F1444">
        <v>10000</v>
      </c>
      <c r="G1444">
        <v>-12000</v>
      </c>
      <c r="H1444">
        <v>-12000</v>
      </c>
      <c r="I1444">
        <v>-12000</v>
      </c>
    </row>
    <row r="1445" spans="1:9" x14ac:dyDescent="0.3">
      <c r="A1445" s="48" t="s">
        <v>56</v>
      </c>
      <c r="C1445">
        <v>1000</v>
      </c>
      <c r="D1445">
        <v>-10000</v>
      </c>
      <c r="E1445">
        <v>5000</v>
      </c>
      <c r="F1445">
        <v>9000</v>
      </c>
      <c r="G1445">
        <v>-13000</v>
      </c>
      <c r="H1445">
        <v>-13000</v>
      </c>
      <c r="I1445">
        <v>-13000</v>
      </c>
    </row>
    <row r="1446" spans="1:9" x14ac:dyDescent="0.3">
      <c r="A1446" s="48" t="s">
        <v>57</v>
      </c>
      <c r="C1446">
        <v>2000</v>
      </c>
      <c r="D1446">
        <v>-11000</v>
      </c>
      <c r="E1446">
        <v>4000</v>
      </c>
      <c r="F1446">
        <v>8000</v>
      </c>
      <c r="G1446">
        <v>-14000</v>
      </c>
      <c r="H1446">
        <v>-14000</v>
      </c>
      <c r="I1446">
        <v>-14000</v>
      </c>
    </row>
    <row r="1447" spans="1:9" x14ac:dyDescent="0.3">
      <c r="A1447" s="48" t="s">
        <v>58</v>
      </c>
      <c r="C1447">
        <v>3000</v>
      </c>
      <c r="D1447">
        <v>-12000</v>
      </c>
      <c r="E1447">
        <v>3000</v>
      </c>
      <c r="F1447">
        <v>7000</v>
      </c>
      <c r="G1447">
        <v>-15000</v>
      </c>
      <c r="H1447">
        <v>-15000</v>
      </c>
      <c r="I1447">
        <v>-15000</v>
      </c>
    </row>
    <row r="1448" spans="1:9" x14ac:dyDescent="0.3">
      <c r="A1448" s="15" t="s">
        <v>46</v>
      </c>
    </row>
    <row r="1449" spans="1:9" x14ac:dyDescent="0.3">
      <c r="A1449" s="48" t="s">
        <v>35</v>
      </c>
      <c r="C1449">
        <v>-7000</v>
      </c>
      <c r="D1449">
        <v>-1000</v>
      </c>
      <c r="E1449">
        <v>11000</v>
      </c>
      <c r="F1449">
        <v>15000</v>
      </c>
      <c r="G1449">
        <v>-7000</v>
      </c>
      <c r="H1449">
        <v>-7000</v>
      </c>
      <c r="I1449">
        <v>-7000</v>
      </c>
    </row>
    <row r="1450" spans="1:9" x14ac:dyDescent="0.3">
      <c r="A1450" s="48" t="s">
        <v>41</v>
      </c>
      <c r="C1450">
        <v>-6000</v>
      </c>
      <c r="D1450">
        <v>-2000</v>
      </c>
      <c r="E1450">
        <v>10000</v>
      </c>
      <c r="F1450">
        <v>14000</v>
      </c>
      <c r="G1450">
        <v>-8000</v>
      </c>
      <c r="H1450">
        <v>-8000</v>
      </c>
      <c r="I1450">
        <v>-8000</v>
      </c>
    </row>
    <row r="1451" spans="1:9" x14ac:dyDescent="0.3">
      <c r="A1451" s="48" t="s">
        <v>42</v>
      </c>
      <c r="C1451">
        <v>-5000</v>
      </c>
      <c r="D1451">
        <v>-3000</v>
      </c>
      <c r="E1451">
        <v>9000</v>
      </c>
      <c r="F1451">
        <v>13000</v>
      </c>
      <c r="G1451">
        <v>-9000</v>
      </c>
      <c r="H1451">
        <v>-9000</v>
      </c>
      <c r="I1451">
        <v>-9000</v>
      </c>
    </row>
    <row r="1452" spans="1:9" x14ac:dyDescent="0.3">
      <c r="A1452" s="48" t="s">
        <v>43</v>
      </c>
      <c r="C1452">
        <v>-4000</v>
      </c>
      <c r="D1452">
        <v>-4000</v>
      </c>
      <c r="E1452">
        <v>8000</v>
      </c>
      <c r="F1452">
        <v>12000</v>
      </c>
      <c r="G1452">
        <v>-10000</v>
      </c>
      <c r="H1452">
        <v>-10000</v>
      </c>
      <c r="I1452">
        <v>-10000</v>
      </c>
    </row>
    <row r="1453" spans="1:9" x14ac:dyDescent="0.3">
      <c r="A1453" s="48" t="s">
        <v>44</v>
      </c>
      <c r="C1453">
        <v>-3000</v>
      </c>
      <c r="D1453">
        <v>-5000</v>
      </c>
      <c r="E1453">
        <v>7000</v>
      </c>
      <c r="F1453">
        <v>11000</v>
      </c>
      <c r="G1453">
        <v>-11000</v>
      </c>
      <c r="H1453">
        <v>-11000</v>
      </c>
      <c r="I1453">
        <v>-11000</v>
      </c>
    </row>
    <row r="1454" spans="1:9" x14ac:dyDescent="0.3">
      <c r="A1454" s="48" t="s">
        <v>54</v>
      </c>
      <c r="C1454">
        <v>-2000</v>
      </c>
      <c r="D1454">
        <v>-6000</v>
      </c>
      <c r="E1454">
        <v>6000</v>
      </c>
      <c r="F1454">
        <v>10000</v>
      </c>
      <c r="G1454">
        <v>-12000</v>
      </c>
      <c r="H1454">
        <v>-12000</v>
      </c>
      <c r="I1454">
        <v>-12000</v>
      </c>
    </row>
    <row r="1455" spans="1:9" x14ac:dyDescent="0.3">
      <c r="A1455" s="48" t="s">
        <v>55</v>
      </c>
      <c r="C1455">
        <v>-1000</v>
      </c>
      <c r="D1455">
        <v>-7000</v>
      </c>
      <c r="E1455">
        <v>5000</v>
      </c>
      <c r="F1455">
        <v>9000</v>
      </c>
      <c r="G1455">
        <v>-13000</v>
      </c>
      <c r="H1455">
        <v>-13000</v>
      </c>
      <c r="I1455">
        <v>-13000</v>
      </c>
    </row>
    <row r="1456" spans="1:9" x14ac:dyDescent="0.3">
      <c r="A1456" s="48" t="s">
        <v>56</v>
      </c>
      <c r="C1456">
        <v>0</v>
      </c>
      <c r="D1456">
        <v>-8000</v>
      </c>
      <c r="E1456">
        <v>4000</v>
      </c>
      <c r="F1456">
        <v>8000</v>
      </c>
      <c r="G1456">
        <v>-14000</v>
      </c>
      <c r="H1456">
        <v>-14000</v>
      </c>
      <c r="I1456">
        <v>-14000</v>
      </c>
    </row>
    <row r="1457" spans="1:9" x14ac:dyDescent="0.3">
      <c r="A1457" s="48" t="s">
        <v>57</v>
      </c>
      <c r="C1457">
        <v>1000</v>
      </c>
      <c r="D1457">
        <v>-9000</v>
      </c>
      <c r="E1457">
        <v>3000</v>
      </c>
      <c r="F1457">
        <v>7000</v>
      </c>
      <c r="G1457">
        <v>-15000</v>
      </c>
      <c r="H1457">
        <v>-15000</v>
      </c>
      <c r="I1457">
        <v>-15000</v>
      </c>
    </row>
    <row r="1458" spans="1:9" x14ac:dyDescent="0.3">
      <c r="A1458" s="48" t="s">
        <v>58</v>
      </c>
      <c r="C1458">
        <v>2000</v>
      </c>
      <c r="D1458">
        <v>-10000</v>
      </c>
      <c r="E1458">
        <v>2000</v>
      </c>
      <c r="F1458">
        <v>6000</v>
      </c>
      <c r="G1458">
        <v>-16000</v>
      </c>
      <c r="H1458">
        <v>-16000</v>
      </c>
      <c r="I1458">
        <v>-16000</v>
      </c>
    </row>
    <row r="1459" spans="1:9" x14ac:dyDescent="0.3">
      <c r="A1459" s="15" t="s">
        <v>47</v>
      </c>
    </row>
    <row r="1460" spans="1:9" x14ac:dyDescent="0.3">
      <c r="A1460" s="48" t="s">
        <v>35</v>
      </c>
      <c r="C1460">
        <v>-8000</v>
      </c>
      <c r="D1460">
        <v>1000</v>
      </c>
      <c r="E1460">
        <v>10000</v>
      </c>
      <c r="F1460">
        <v>14000</v>
      </c>
      <c r="G1460">
        <v>-8000</v>
      </c>
      <c r="H1460">
        <v>-8000</v>
      </c>
      <c r="I1460">
        <v>-8000</v>
      </c>
    </row>
    <row r="1461" spans="1:9" x14ac:dyDescent="0.3">
      <c r="A1461" s="48" t="s">
        <v>41</v>
      </c>
      <c r="C1461">
        <v>-7000</v>
      </c>
      <c r="D1461">
        <v>0</v>
      </c>
      <c r="E1461">
        <v>9000</v>
      </c>
      <c r="F1461">
        <v>13000</v>
      </c>
      <c r="G1461">
        <v>-9000</v>
      </c>
      <c r="H1461">
        <v>-9000</v>
      </c>
      <c r="I1461">
        <v>-9000</v>
      </c>
    </row>
    <row r="1462" spans="1:9" x14ac:dyDescent="0.3">
      <c r="A1462" s="48" t="s">
        <v>42</v>
      </c>
      <c r="C1462">
        <v>-6000</v>
      </c>
      <c r="D1462">
        <v>-1000</v>
      </c>
      <c r="E1462">
        <v>8000</v>
      </c>
      <c r="F1462">
        <v>12000</v>
      </c>
      <c r="G1462">
        <v>-10000</v>
      </c>
      <c r="H1462">
        <v>-10000</v>
      </c>
      <c r="I1462">
        <v>-10000</v>
      </c>
    </row>
    <row r="1463" spans="1:9" x14ac:dyDescent="0.3">
      <c r="A1463" s="48" t="s">
        <v>43</v>
      </c>
      <c r="C1463">
        <v>-5000</v>
      </c>
      <c r="D1463">
        <v>-2000</v>
      </c>
      <c r="E1463">
        <v>7000</v>
      </c>
      <c r="F1463">
        <v>11000</v>
      </c>
      <c r="G1463">
        <v>-11000</v>
      </c>
      <c r="H1463">
        <v>-11000</v>
      </c>
      <c r="I1463">
        <v>-11000</v>
      </c>
    </row>
    <row r="1464" spans="1:9" x14ac:dyDescent="0.3">
      <c r="A1464" s="48" t="s">
        <v>44</v>
      </c>
      <c r="C1464">
        <v>-4000</v>
      </c>
      <c r="D1464">
        <v>-3000</v>
      </c>
      <c r="E1464">
        <v>6000</v>
      </c>
      <c r="F1464">
        <v>10000</v>
      </c>
      <c r="G1464">
        <v>-12000</v>
      </c>
      <c r="H1464">
        <v>-12000</v>
      </c>
      <c r="I1464">
        <v>-12000</v>
      </c>
    </row>
    <row r="1465" spans="1:9" x14ac:dyDescent="0.3">
      <c r="A1465" s="48" t="s">
        <v>54</v>
      </c>
      <c r="C1465">
        <v>-3000</v>
      </c>
      <c r="D1465">
        <v>-4000</v>
      </c>
      <c r="E1465">
        <v>5000</v>
      </c>
      <c r="F1465">
        <v>9000</v>
      </c>
      <c r="G1465">
        <v>-13000</v>
      </c>
      <c r="H1465">
        <v>-13000</v>
      </c>
      <c r="I1465">
        <v>-13000</v>
      </c>
    </row>
    <row r="1466" spans="1:9" x14ac:dyDescent="0.3">
      <c r="A1466" s="48" t="s">
        <v>55</v>
      </c>
      <c r="C1466">
        <v>-2000</v>
      </c>
      <c r="D1466">
        <v>-5000</v>
      </c>
      <c r="E1466">
        <v>4000</v>
      </c>
      <c r="F1466">
        <v>8000</v>
      </c>
      <c r="G1466">
        <v>-14000</v>
      </c>
      <c r="H1466">
        <v>-14000</v>
      </c>
      <c r="I1466">
        <v>-14000</v>
      </c>
    </row>
    <row r="1467" spans="1:9" x14ac:dyDescent="0.3">
      <c r="A1467" s="48" t="s">
        <v>56</v>
      </c>
      <c r="C1467">
        <v>-1000</v>
      </c>
      <c r="D1467">
        <v>-6000</v>
      </c>
      <c r="E1467">
        <v>3000</v>
      </c>
      <c r="F1467">
        <v>7000</v>
      </c>
      <c r="G1467">
        <v>-15000</v>
      </c>
      <c r="H1467">
        <v>-15000</v>
      </c>
      <c r="I1467">
        <v>-15000</v>
      </c>
    </row>
    <row r="1468" spans="1:9" x14ac:dyDescent="0.3">
      <c r="A1468" s="48" t="s">
        <v>57</v>
      </c>
      <c r="C1468">
        <v>0</v>
      </c>
      <c r="D1468">
        <v>-7000</v>
      </c>
      <c r="E1468">
        <v>2000</v>
      </c>
      <c r="F1468">
        <v>6000</v>
      </c>
      <c r="G1468">
        <v>-16000</v>
      </c>
      <c r="H1468">
        <v>-16000</v>
      </c>
      <c r="I1468">
        <v>-16000</v>
      </c>
    </row>
    <row r="1469" spans="1:9" x14ac:dyDescent="0.3">
      <c r="A1469" s="48" t="s">
        <v>58</v>
      </c>
      <c r="C1469">
        <v>1000</v>
      </c>
      <c r="D1469">
        <v>-8000</v>
      </c>
      <c r="E1469">
        <v>1000</v>
      </c>
      <c r="F1469">
        <v>5000</v>
      </c>
      <c r="G1469">
        <v>-17000</v>
      </c>
      <c r="H1469">
        <v>-17000</v>
      </c>
      <c r="I1469">
        <v>-17000</v>
      </c>
    </row>
    <row r="1470" spans="1:9" x14ac:dyDescent="0.3">
      <c r="A1470" s="15" t="s">
        <v>48</v>
      </c>
    </row>
    <row r="1471" spans="1:9" x14ac:dyDescent="0.3">
      <c r="A1471" s="48" t="s">
        <v>35</v>
      </c>
      <c r="C1471">
        <v>-9000</v>
      </c>
      <c r="D1471">
        <v>3000</v>
      </c>
      <c r="E1471">
        <v>9000</v>
      </c>
      <c r="F1471">
        <v>13000</v>
      </c>
      <c r="G1471">
        <v>-9000</v>
      </c>
      <c r="H1471">
        <v>-9000</v>
      </c>
      <c r="I1471">
        <v>-9000</v>
      </c>
    </row>
    <row r="1472" spans="1:9" x14ac:dyDescent="0.3">
      <c r="A1472" s="48" t="s">
        <v>41</v>
      </c>
      <c r="C1472">
        <v>-8000</v>
      </c>
      <c r="D1472">
        <v>2000</v>
      </c>
      <c r="E1472">
        <v>8000</v>
      </c>
      <c r="F1472">
        <v>12000</v>
      </c>
      <c r="G1472">
        <v>-10000</v>
      </c>
      <c r="H1472">
        <v>-10000</v>
      </c>
      <c r="I1472">
        <v>-10000</v>
      </c>
    </row>
    <row r="1473" spans="1:9" x14ac:dyDescent="0.3">
      <c r="A1473" s="48" t="s">
        <v>42</v>
      </c>
      <c r="C1473">
        <v>-7000</v>
      </c>
      <c r="D1473">
        <v>1000</v>
      </c>
      <c r="E1473">
        <v>7000</v>
      </c>
      <c r="F1473">
        <v>11000</v>
      </c>
      <c r="G1473">
        <v>-11000</v>
      </c>
      <c r="H1473">
        <v>-11000</v>
      </c>
      <c r="I1473">
        <v>-11000</v>
      </c>
    </row>
    <row r="1474" spans="1:9" x14ac:dyDescent="0.3">
      <c r="A1474" s="48" t="s">
        <v>43</v>
      </c>
      <c r="C1474">
        <v>-6000</v>
      </c>
      <c r="D1474">
        <v>0</v>
      </c>
      <c r="E1474">
        <v>6000</v>
      </c>
      <c r="F1474">
        <v>10000</v>
      </c>
      <c r="G1474">
        <v>-12000</v>
      </c>
      <c r="H1474">
        <v>-12000</v>
      </c>
      <c r="I1474">
        <v>-12000</v>
      </c>
    </row>
    <row r="1475" spans="1:9" x14ac:dyDescent="0.3">
      <c r="A1475" s="48" t="s">
        <v>44</v>
      </c>
      <c r="C1475">
        <v>-5000</v>
      </c>
      <c r="D1475">
        <v>-1000</v>
      </c>
      <c r="E1475">
        <v>5000</v>
      </c>
      <c r="F1475">
        <v>9000</v>
      </c>
      <c r="G1475">
        <v>-13000</v>
      </c>
      <c r="H1475">
        <v>-13000</v>
      </c>
      <c r="I1475">
        <v>-13000</v>
      </c>
    </row>
    <row r="1476" spans="1:9" x14ac:dyDescent="0.3">
      <c r="A1476" s="48" t="s">
        <v>54</v>
      </c>
      <c r="C1476">
        <v>-4000</v>
      </c>
      <c r="D1476">
        <v>-2000</v>
      </c>
      <c r="E1476">
        <v>4000</v>
      </c>
      <c r="F1476">
        <v>8000</v>
      </c>
      <c r="G1476">
        <v>-14000</v>
      </c>
      <c r="H1476">
        <v>-14000</v>
      </c>
      <c r="I1476">
        <v>-14000</v>
      </c>
    </row>
    <row r="1477" spans="1:9" x14ac:dyDescent="0.3">
      <c r="A1477" s="48" t="s">
        <v>55</v>
      </c>
      <c r="C1477">
        <v>-3000</v>
      </c>
      <c r="D1477">
        <v>-3000</v>
      </c>
      <c r="E1477">
        <v>3000</v>
      </c>
      <c r="F1477">
        <v>7000</v>
      </c>
      <c r="G1477">
        <v>-15000</v>
      </c>
      <c r="H1477">
        <v>-15000</v>
      </c>
      <c r="I1477">
        <v>-15000</v>
      </c>
    </row>
    <row r="1478" spans="1:9" x14ac:dyDescent="0.3">
      <c r="A1478" s="48" t="s">
        <v>56</v>
      </c>
      <c r="C1478">
        <v>-2000</v>
      </c>
      <c r="D1478">
        <v>-4000</v>
      </c>
      <c r="E1478">
        <v>2000</v>
      </c>
      <c r="F1478">
        <v>6000</v>
      </c>
      <c r="G1478">
        <v>-16000</v>
      </c>
      <c r="H1478">
        <v>-16000</v>
      </c>
      <c r="I1478">
        <v>-16000</v>
      </c>
    </row>
    <row r="1479" spans="1:9" x14ac:dyDescent="0.3">
      <c r="A1479" s="48" t="s">
        <v>57</v>
      </c>
      <c r="C1479">
        <v>-1000</v>
      </c>
      <c r="D1479">
        <v>-5000</v>
      </c>
      <c r="E1479">
        <v>1000</v>
      </c>
      <c r="F1479">
        <v>5000</v>
      </c>
      <c r="G1479">
        <v>-17000</v>
      </c>
      <c r="H1479">
        <v>-17000</v>
      </c>
      <c r="I1479">
        <v>-17000</v>
      </c>
    </row>
    <row r="1480" spans="1:9" x14ac:dyDescent="0.3">
      <c r="A1480" s="48" t="s">
        <v>58</v>
      </c>
      <c r="C1480">
        <v>0</v>
      </c>
      <c r="D1480">
        <v>-6000</v>
      </c>
      <c r="E1480">
        <v>0</v>
      </c>
      <c r="F1480">
        <v>4000</v>
      </c>
      <c r="G1480">
        <v>-18000</v>
      </c>
      <c r="H1480">
        <v>-18000</v>
      </c>
      <c r="I1480">
        <v>-18000</v>
      </c>
    </row>
    <row r="1481" spans="1:9" x14ac:dyDescent="0.3">
      <c r="A1481" s="15" t="s">
        <v>59</v>
      </c>
    </row>
    <row r="1482" spans="1:9" x14ac:dyDescent="0.3">
      <c r="A1482" s="48" t="s">
        <v>35</v>
      </c>
      <c r="C1482">
        <v>-10000</v>
      </c>
      <c r="D1482">
        <v>5000</v>
      </c>
      <c r="E1482">
        <v>8000</v>
      </c>
      <c r="F1482">
        <v>12000</v>
      </c>
      <c r="G1482">
        <v>-10000</v>
      </c>
      <c r="H1482">
        <v>-10000</v>
      </c>
      <c r="I1482">
        <v>-10000</v>
      </c>
    </row>
    <row r="1483" spans="1:9" x14ac:dyDescent="0.3">
      <c r="A1483" s="48" t="s">
        <v>41</v>
      </c>
      <c r="C1483">
        <v>-9000</v>
      </c>
      <c r="D1483">
        <v>4000</v>
      </c>
      <c r="E1483">
        <v>7000</v>
      </c>
      <c r="F1483">
        <v>11000</v>
      </c>
      <c r="G1483">
        <v>-11000</v>
      </c>
      <c r="H1483">
        <v>-11000</v>
      </c>
      <c r="I1483">
        <v>-11000</v>
      </c>
    </row>
    <row r="1484" spans="1:9" x14ac:dyDescent="0.3">
      <c r="A1484" s="48" t="s">
        <v>42</v>
      </c>
      <c r="C1484">
        <v>-8000</v>
      </c>
      <c r="D1484">
        <v>3000</v>
      </c>
      <c r="E1484">
        <v>6000</v>
      </c>
      <c r="F1484">
        <v>10000</v>
      </c>
      <c r="G1484">
        <v>-12000</v>
      </c>
      <c r="H1484">
        <v>-12000</v>
      </c>
      <c r="I1484">
        <v>-12000</v>
      </c>
    </row>
    <row r="1485" spans="1:9" x14ac:dyDescent="0.3">
      <c r="A1485" s="48" t="s">
        <v>43</v>
      </c>
      <c r="C1485">
        <v>-7000</v>
      </c>
      <c r="D1485">
        <v>2000</v>
      </c>
      <c r="E1485">
        <v>5000</v>
      </c>
      <c r="F1485">
        <v>9000</v>
      </c>
      <c r="G1485">
        <v>-13000</v>
      </c>
      <c r="H1485">
        <v>-13000</v>
      </c>
      <c r="I1485">
        <v>-13000</v>
      </c>
    </row>
    <row r="1486" spans="1:9" x14ac:dyDescent="0.3">
      <c r="A1486" s="48" t="s">
        <v>44</v>
      </c>
      <c r="C1486">
        <v>-6000</v>
      </c>
      <c r="D1486">
        <v>1000</v>
      </c>
      <c r="E1486">
        <v>4000</v>
      </c>
      <c r="F1486">
        <v>8000</v>
      </c>
      <c r="G1486">
        <v>-14000</v>
      </c>
      <c r="H1486">
        <v>-14000</v>
      </c>
      <c r="I1486">
        <v>-14000</v>
      </c>
    </row>
    <row r="1487" spans="1:9" x14ac:dyDescent="0.3">
      <c r="A1487" s="48" t="s">
        <v>54</v>
      </c>
      <c r="C1487">
        <v>-5000</v>
      </c>
      <c r="D1487">
        <v>0</v>
      </c>
      <c r="E1487">
        <v>3000</v>
      </c>
      <c r="F1487">
        <v>7000</v>
      </c>
      <c r="G1487">
        <v>-15000</v>
      </c>
      <c r="H1487">
        <v>-15000</v>
      </c>
      <c r="I1487">
        <v>-15000</v>
      </c>
    </row>
    <row r="1488" spans="1:9" x14ac:dyDescent="0.3">
      <c r="A1488" s="48" t="s">
        <v>55</v>
      </c>
      <c r="C1488">
        <v>-4000</v>
      </c>
      <c r="D1488">
        <v>-1000</v>
      </c>
      <c r="E1488">
        <v>2000</v>
      </c>
      <c r="F1488">
        <v>6000</v>
      </c>
      <c r="G1488">
        <v>-16000</v>
      </c>
      <c r="H1488">
        <v>-16000</v>
      </c>
      <c r="I1488">
        <v>-16000</v>
      </c>
    </row>
    <row r="1489" spans="1:9" x14ac:dyDescent="0.3">
      <c r="A1489" s="48" t="s">
        <v>56</v>
      </c>
      <c r="C1489">
        <v>-3000</v>
      </c>
      <c r="D1489">
        <v>-2000</v>
      </c>
      <c r="E1489">
        <v>1000</v>
      </c>
      <c r="F1489">
        <v>5000</v>
      </c>
      <c r="G1489">
        <v>-17000</v>
      </c>
      <c r="H1489">
        <v>-17000</v>
      </c>
      <c r="I1489">
        <v>-17000</v>
      </c>
    </row>
    <row r="1490" spans="1:9" x14ac:dyDescent="0.3">
      <c r="A1490" s="48" t="s">
        <v>57</v>
      </c>
      <c r="C1490">
        <v>-2000</v>
      </c>
      <c r="D1490">
        <v>-3000</v>
      </c>
      <c r="E1490">
        <v>0</v>
      </c>
      <c r="F1490">
        <v>4000</v>
      </c>
      <c r="G1490">
        <v>-18000</v>
      </c>
      <c r="H1490">
        <v>-18000</v>
      </c>
      <c r="I1490">
        <v>-18000</v>
      </c>
    </row>
    <row r="1491" spans="1:9" x14ac:dyDescent="0.3">
      <c r="A1491" s="48" t="s">
        <v>58</v>
      </c>
      <c r="C1491">
        <v>-1000</v>
      </c>
      <c r="D1491">
        <v>-4000</v>
      </c>
      <c r="E1491">
        <v>-1000</v>
      </c>
      <c r="F1491">
        <v>3000</v>
      </c>
      <c r="G1491">
        <v>-19000</v>
      </c>
      <c r="H1491">
        <v>-19000</v>
      </c>
      <c r="I1491">
        <v>-19000</v>
      </c>
    </row>
    <row r="1492" spans="1:9" x14ac:dyDescent="0.3">
      <c r="A1492" s="15" t="s">
        <v>60</v>
      </c>
    </row>
    <row r="1493" spans="1:9" x14ac:dyDescent="0.3">
      <c r="A1493" s="48" t="s">
        <v>35</v>
      </c>
      <c r="C1493">
        <v>-11000</v>
      </c>
      <c r="D1493">
        <v>7000</v>
      </c>
      <c r="E1493">
        <v>7000</v>
      </c>
      <c r="F1493">
        <v>11000</v>
      </c>
      <c r="G1493">
        <v>-11000</v>
      </c>
      <c r="H1493">
        <v>-11000</v>
      </c>
      <c r="I1493">
        <v>-11000</v>
      </c>
    </row>
    <row r="1494" spans="1:9" x14ac:dyDescent="0.3">
      <c r="A1494" s="48" t="s">
        <v>41</v>
      </c>
      <c r="C1494">
        <v>-10000</v>
      </c>
      <c r="D1494">
        <v>6000</v>
      </c>
      <c r="E1494">
        <v>6000</v>
      </c>
      <c r="F1494">
        <v>10000</v>
      </c>
      <c r="G1494">
        <v>-12000</v>
      </c>
      <c r="H1494">
        <v>-12000</v>
      </c>
      <c r="I1494">
        <v>-12000</v>
      </c>
    </row>
    <row r="1495" spans="1:9" x14ac:dyDescent="0.3">
      <c r="A1495" s="48" t="s">
        <v>42</v>
      </c>
      <c r="C1495">
        <v>-9000</v>
      </c>
      <c r="D1495">
        <v>5000</v>
      </c>
      <c r="E1495">
        <v>5000</v>
      </c>
      <c r="F1495">
        <v>9000</v>
      </c>
      <c r="G1495">
        <v>-13000</v>
      </c>
      <c r="H1495">
        <v>-13000</v>
      </c>
      <c r="I1495">
        <v>-13000</v>
      </c>
    </row>
    <row r="1496" spans="1:9" x14ac:dyDescent="0.3">
      <c r="A1496" s="48" t="s">
        <v>43</v>
      </c>
      <c r="C1496">
        <v>-8000</v>
      </c>
      <c r="D1496">
        <v>4000</v>
      </c>
      <c r="E1496">
        <v>4000</v>
      </c>
      <c r="F1496">
        <v>8000</v>
      </c>
      <c r="G1496">
        <v>-14000</v>
      </c>
      <c r="H1496">
        <v>-14000</v>
      </c>
      <c r="I1496">
        <v>-14000</v>
      </c>
    </row>
    <row r="1497" spans="1:9" x14ac:dyDescent="0.3">
      <c r="A1497" s="48" t="s">
        <v>44</v>
      </c>
      <c r="C1497">
        <v>-7000</v>
      </c>
      <c r="D1497">
        <v>3000</v>
      </c>
      <c r="E1497">
        <v>3000</v>
      </c>
      <c r="F1497">
        <v>7000</v>
      </c>
      <c r="G1497">
        <v>-15000</v>
      </c>
      <c r="H1497">
        <v>-15000</v>
      </c>
      <c r="I1497">
        <v>-15000</v>
      </c>
    </row>
    <row r="1498" spans="1:9" x14ac:dyDescent="0.3">
      <c r="A1498" s="48" t="s">
        <v>54</v>
      </c>
      <c r="C1498">
        <v>-6000</v>
      </c>
      <c r="D1498">
        <v>2000</v>
      </c>
      <c r="E1498">
        <v>2000</v>
      </c>
      <c r="F1498">
        <v>6000</v>
      </c>
      <c r="G1498">
        <v>-16000</v>
      </c>
      <c r="H1498">
        <v>-16000</v>
      </c>
      <c r="I1498">
        <v>-16000</v>
      </c>
    </row>
    <row r="1499" spans="1:9" x14ac:dyDescent="0.3">
      <c r="A1499" s="48" t="s">
        <v>55</v>
      </c>
      <c r="C1499">
        <v>-5000</v>
      </c>
      <c r="D1499">
        <v>1000</v>
      </c>
      <c r="E1499">
        <v>1000</v>
      </c>
      <c r="F1499">
        <v>5000</v>
      </c>
      <c r="G1499">
        <v>-17000</v>
      </c>
      <c r="H1499">
        <v>-17000</v>
      </c>
      <c r="I1499">
        <v>-17000</v>
      </c>
    </row>
    <row r="1500" spans="1:9" x14ac:dyDescent="0.3">
      <c r="A1500" s="48" t="s">
        <v>56</v>
      </c>
      <c r="C1500">
        <v>-4000</v>
      </c>
      <c r="D1500">
        <v>0</v>
      </c>
      <c r="E1500">
        <v>0</v>
      </c>
      <c r="F1500">
        <v>4000</v>
      </c>
      <c r="G1500">
        <v>-18000</v>
      </c>
      <c r="H1500">
        <v>-18000</v>
      </c>
      <c r="I1500">
        <v>-18000</v>
      </c>
    </row>
    <row r="1501" spans="1:9" x14ac:dyDescent="0.3">
      <c r="A1501" s="48" t="s">
        <v>57</v>
      </c>
      <c r="C1501">
        <v>-3000</v>
      </c>
      <c r="D1501">
        <v>-1000</v>
      </c>
      <c r="E1501">
        <v>-1000</v>
      </c>
      <c r="F1501">
        <v>3000</v>
      </c>
      <c r="G1501">
        <v>-19000</v>
      </c>
      <c r="H1501">
        <v>-19000</v>
      </c>
      <c r="I1501">
        <v>-19000</v>
      </c>
    </row>
    <row r="1502" spans="1:9" x14ac:dyDescent="0.3">
      <c r="A1502" s="48" t="s">
        <v>58</v>
      </c>
      <c r="C1502">
        <v>-2000</v>
      </c>
      <c r="D1502">
        <v>-2000</v>
      </c>
      <c r="E1502">
        <v>-2000</v>
      </c>
      <c r="F1502">
        <v>2000</v>
      </c>
      <c r="G1502">
        <v>-20000</v>
      </c>
      <c r="H1502">
        <v>-20000</v>
      </c>
      <c r="I1502">
        <v>-20000</v>
      </c>
    </row>
    <row r="1503" spans="1:9" x14ac:dyDescent="0.3">
      <c r="A1503" s="15" t="s">
        <v>61</v>
      </c>
    </row>
    <row r="1504" spans="1:9" x14ac:dyDescent="0.3">
      <c r="A1504" s="48" t="s">
        <v>35</v>
      </c>
      <c r="C1504">
        <v>-12000</v>
      </c>
      <c r="D1504">
        <v>9000</v>
      </c>
      <c r="E1504">
        <v>6000</v>
      </c>
      <c r="F1504">
        <v>10000</v>
      </c>
      <c r="G1504">
        <v>-12000</v>
      </c>
      <c r="H1504">
        <v>-12000</v>
      </c>
      <c r="I1504">
        <v>-12000</v>
      </c>
    </row>
    <row r="1505" spans="1:9" x14ac:dyDescent="0.3">
      <c r="A1505" s="48" t="s">
        <v>41</v>
      </c>
      <c r="C1505">
        <v>-11000</v>
      </c>
      <c r="D1505">
        <v>8000</v>
      </c>
      <c r="E1505">
        <v>5000</v>
      </c>
      <c r="F1505">
        <v>9000</v>
      </c>
      <c r="G1505">
        <v>-13000</v>
      </c>
      <c r="H1505">
        <v>-13000</v>
      </c>
      <c r="I1505">
        <v>-13000</v>
      </c>
    </row>
    <row r="1506" spans="1:9" x14ac:dyDescent="0.3">
      <c r="A1506" s="48" t="s">
        <v>42</v>
      </c>
      <c r="C1506">
        <v>-10000</v>
      </c>
      <c r="D1506">
        <v>7000</v>
      </c>
      <c r="E1506">
        <v>4000</v>
      </c>
      <c r="F1506">
        <v>8000</v>
      </c>
      <c r="G1506">
        <v>-14000</v>
      </c>
      <c r="H1506">
        <v>-14000</v>
      </c>
      <c r="I1506">
        <v>-14000</v>
      </c>
    </row>
    <row r="1507" spans="1:9" x14ac:dyDescent="0.3">
      <c r="A1507" s="48" t="s">
        <v>43</v>
      </c>
      <c r="C1507">
        <v>-9000</v>
      </c>
      <c r="D1507">
        <v>6000</v>
      </c>
      <c r="E1507">
        <v>3000</v>
      </c>
      <c r="F1507">
        <v>7000</v>
      </c>
      <c r="G1507">
        <v>-15000</v>
      </c>
      <c r="H1507">
        <v>-15000</v>
      </c>
      <c r="I1507">
        <v>-15000</v>
      </c>
    </row>
    <row r="1508" spans="1:9" x14ac:dyDescent="0.3">
      <c r="A1508" s="48" t="s">
        <v>44</v>
      </c>
      <c r="C1508">
        <v>-8000</v>
      </c>
      <c r="D1508">
        <v>5000</v>
      </c>
      <c r="E1508">
        <v>2000</v>
      </c>
      <c r="F1508">
        <v>6000</v>
      </c>
      <c r="G1508">
        <v>-16000</v>
      </c>
      <c r="H1508">
        <v>-16000</v>
      </c>
      <c r="I1508">
        <v>-16000</v>
      </c>
    </row>
    <row r="1509" spans="1:9" x14ac:dyDescent="0.3">
      <c r="A1509" s="48" t="s">
        <v>54</v>
      </c>
      <c r="C1509">
        <v>-7000</v>
      </c>
      <c r="D1509">
        <v>4000</v>
      </c>
      <c r="E1509">
        <v>1000</v>
      </c>
      <c r="F1509">
        <v>5000</v>
      </c>
      <c r="G1509">
        <v>-17000</v>
      </c>
      <c r="H1509">
        <v>-17000</v>
      </c>
      <c r="I1509">
        <v>-17000</v>
      </c>
    </row>
    <row r="1510" spans="1:9" x14ac:dyDescent="0.3">
      <c r="A1510" s="48" t="s">
        <v>55</v>
      </c>
      <c r="C1510">
        <v>-6000</v>
      </c>
      <c r="D1510">
        <v>3000</v>
      </c>
      <c r="E1510">
        <v>0</v>
      </c>
      <c r="F1510">
        <v>4000</v>
      </c>
      <c r="G1510">
        <v>-18000</v>
      </c>
      <c r="H1510">
        <v>-18000</v>
      </c>
      <c r="I1510">
        <v>-18000</v>
      </c>
    </row>
    <row r="1511" spans="1:9" x14ac:dyDescent="0.3">
      <c r="A1511" s="48" t="s">
        <v>56</v>
      </c>
      <c r="C1511">
        <v>-5000</v>
      </c>
      <c r="D1511">
        <v>2000</v>
      </c>
      <c r="E1511">
        <v>-1000</v>
      </c>
      <c r="F1511">
        <v>3000</v>
      </c>
      <c r="G1511">
        <v>-19000</v>
      </c>
      <c r="H1511">
        <v>-19000</v>
      </c>
      <c r="I1511">
        <v>-19000</v>
      </c>
    </row>
    <row r="1512" spans="1:9" x14ac:dyDescent="0.3">
      <c r="A1512" s="48" t="s">
        <v>57</v>
      </c>
      <c r="C1512">
        <v>-4000</v>
      </c>
      <c r="D1512">
        <v>1000</v>
      </c>
      <c r="E1512">
        <v>-2000</v>
      </c>
      <c r="F1512">
        <v>2000</v>
      </c>
      <c r="G1512">
        <v>-20000</v>
      </c>
      <c r="H1512">
        <v>-20000</v>
      </c>
      <c r="I1512">
        <v>-20000</v>
      </c>
    </row>
    <row r="1513" spans="1:9" x14ac:dyDescent="0.3">
      <c r="A1513" s="48" t="s">
        <v>58</v>
      </c>
      <c r="C1513">
        <v>-3000</v>
      </c>
      <c r="D1513">
        <v>0</v>
      </c>
      <c r="E1513">
        <v>-3000</v>
      </c>
      <c r="F1513">
        <v>1000</v>
      </c>
      <c r="G1513">
        <v>-21000</v>
      </c>
      <c r="H1513">
        <v>-21000</v>
      </c>
      <c r="I1513">
        <v>-21000</v>
      </c>
    </row>
    <row r="1514" spans="1:9" x14ac:dyDescent="0.3">
      <c r="A1514" s="15" t="s">
        <v>62</v>
      </c>
    </row>
    <row r="1515" spans="1:9" x14ac:dyDescent="0.3">
      <c r="A1515" s="48" t="s">
        <v>35</v>
      </c>
      <c r="C1515">
        <v>-13000</v>
      </c>
      <c r="D1515">
        <v>11000</v>
      </c>
      <c r="E1515">
        <v>5000</v>
      </c>
      <c r="F1515">
        <v>9000</v>
      </c>
      <c r="G1515">
        <v>-13000</v>
      </c>
      <c r="H1515">
        <v>-13000</v>
      </c>
      <c r="I1515">
        <v>-13000</v>
      </c>
    </row>
    <row r="1516" spans="1:9" x14ac:dyDescent="0.3">
      <c r="A1516" s="48" t="s">
        <v>41</v>
      </c>
      <c r="C1516">
        <v>-12000</v>
      </c>
      <c r="D1516">
        <v>10000</v>
      </c>
      <c r="E1516">
        <v>4000</v>
      </c>
      <c r="F1516">
        <v>8000</v>
      </c>
      <c r="G1516">
        <v>-14000</v>
      </c>
      <c r="H1516">
        <v>-14000</v>
      </c>
      <c r="I1516">
        <v>-14000</v>
      </c>
    </row>
    <row r="1517" spans="1:9" x14ac:dyDescent="0.3">
      <c r="A1517" s="48" t="s">
        <v>42</v>
      </c>
      <c r="C1517">
        <v>-11000</v>
      </c>
      <c r="D1517">
        <v>9000</v>
      </c>
      <c r="E1517">
        <v>3000</v>
      </c>
      <c r="F1517">
        <v>7000</v>
      </c>
      <c r="G1517">
        <v>-15000</v>
      </c>
      <c r="H1517">
        <v>-15000</v>
      </c>
      <c r="I1517">
        <v>-15000</v>
      </c>
    </row>
    <row r="1518" spans="1:9" x14ac:dyDescent="0.3">
      <c r="A1518" s="48" t="s">
        <v>43</v>
      </c>
      <c r="C1518">
        <v>-10000</v>
      </c>
      <c r="D1518">
        <v>8000</v>
      </c>
      <c r="E1518">
        <v>2000</v>
      </c>
      <c r="F1518">
        <v>6000</v>
      </c>
      <c r="G1518">
        <v>-16000</v>
      </c>
      <c r="H1518">
        <v>-16000</v>
      </c>
      <c r="I1518">
        <v>-16000</v>
      </c>
    </row>
    <row r="1519" spans="1:9" x14ac:dyDescent="0.3">
      <c r="A1519" s="48" t="s">
        <v>44</v>
      </c>
      <c r="C1519">
        <v>-9000</v>
      </c>
      <c r="D1519">
        <v>7000</v>
      </c>
      <c r="E1519">
        <v>1000</v>
      </c>
      <c r="F1519">
        <v>5000</v>
      </c>
      <c r="G1519">
        <v>-17000</v>
      </c>
      <c r="H1519">
        <v>-17000</v>
      </c>
      <c r="I1519">
        <v>-17000</v>
      </c>
    </row>
    <row r="1520" spans="1:9" x14ac:dyDescent="0.3">
      <c r="A1520" s="48" t="s">
        <v>54</v>
      </c>
      <c r="C1520">
        <v>-8000</v>
      </c>
      <c r="D1520">
        <v>6000</v>
      </c>
      <c r="E1520">
        <v>0</v>
      </c>
      <c r="F1520">
        <v>4000</v>
      </c>
      <c r="G1520">
        <v>-18000</v>
      </c>
      <c r="H1520">
        <v>-18000</v>
      </c>
      <c r="I1520">
        <v>-18000</v>
      </c>
    </row>
    <row r="1521" spans="1:9" x14ac:dyDescent="0.3">
      <c r="A1521" s="48" t="s">
        <v>55</v>
      </c>
      <c r="C1521">
        <v>-7000</v>
      </c>
      <c r="D1521">
        <v>5000</v>
      </c>
      <c r="E1521">
        <v>-1000</v>
      </c>
      <c r="F1521">
        <v>3000</v>
      </c>
      <c r="G1521">
        <v>-19000</v>
      </c>
      <c r="H1521">
        <v>-19000</v>
      </c>
      <c r="I1521">
        <v>-19000</v>
      </c>
    </row>
    <row r="1522" spans="1:9" x14ac:dyDescent="0.3">
      <c r="A1522" s="48" t="s">
        <v>56</v>
      </c>
      <c r="C1522">
        <v>-6000</v>
      </c>
      <c r="D1522">
        <v>4000</v>
      </c>
      <c r="E1522">
        <v>-2000</v>
      </c>
      <c r="F1522">
        <v>2000</v>
      </c>
      <c r="G1522">
        <v>-20000</v>
      </c>
      <c r="H1522">
        <v>-20000</v>
      </c>
      <c r="I1522">
        <v>-20000</v>
      </c>
    </row>
    <row r="1523" spans="1:9" x14ac:dyDescent="0.3">
      <c r="A1523" s="48" t="s">
        <v>57</v>
      </c>
      <c r="C1523">
        <v>-5000</v>
      </c>
      <c r="D1523">
        <v>3000</v>
      </c>
      <c r="E1523">
        <v>-3000</v>
      </c>
      <c r="F1523">
        <v>1000</v>
      </c>
      <c r="G1523">
        <v>-21000</v>
      </c>
      <c r="H1523">
        <v>-21000</v>
      </c>
      <c r="I1523">
        <v>-21000</v>
      </c>
    </row>
    <row r="1524" spans="1:9" x14ac:dyDescent="0.3">
      <c r="A1524" s="48" t="s">
        <v>58</v>
      </c>
      <c r="C1524">
        <v>-4000</v>
      </c>
      <c r="D1524">
        <v>2000</v>
      </c>
      <c r="E1524">
        <v>-4000</v>
      </c>
      <c r="F1524">
        <v>0</v>
      </c>
      <c r="G1524">
        <v>-22000</v>
      </c>
      <c r="H1524">
        <v>-22000</v>
      </c>
      <c r="I1524">
        <v>-22000</v>
      </c>
    </row>
    <row r="1525" spans="1:9" x14ac:dyDescent="0.3">
      <c r="A1525" s="15" t="s">
        <v>63</v>
      </c>
    </row>
    <row r="1526" spans="1:9" x14ac:dyDescent="0.3">
      <c r="A1526" s="48" t="s">
        <v>35</v>
      </c>
      <c r="C1526">
        <v>-14000</v>
      </c>
      <c r="D1526">
        <v>13000</v>
      </c>
      <c r="E1526">
        <v>4000</v>
      </c>
      <c r="F1526">
        <v>8000</v>
      </c>
      <c r="G1526">
        <v>-14000</v>
      </c>
      <c r="H1526">
        <v>-14000</v>
      </c>
      <c r="I1526">
        <v>-14000</v>
      </c>
    </row>
    <row r="1527" spans="1:9" x14ac:dyDescent="0.3">
      <c r="A1527" s="48" t="s">
        <v>41</v>
      </c>
      <c r="C1527">
        <v>-13000</v>
      </c>
      <c r="D1527">
        <v>12000</v>
      </c>
      <c r="E1527">
        <v>3000</v>
      </c>
      <c r="F1527">
        <v>7000</v>
      </c>
      <c r="G1527">
        <v>-15000</v>
      </c>
      <c r="H1527">
        <v>-15000</v>
      </c>
      <c r="I1527">
        <v>-15000</v>
      </c>
    </row>
    <row r="1528" spans="1:9" x14ac:dyDescent="0.3">
      <c r="A1528" s="48" t="s">
        <v>42</v>
      </c>
      <c r="C1528">
        <v>-12000</v>
      </c>
      <c r="D1528">
        <v>11000</v>
      </c>
      <c r="E1528">
        <v>2000</v>
      </c>
      <c r="F1528">
        <v>6000</v>
      </c>
      <c r="G1528">
        <v>-16000</v>
      </c>
      <c r="H1528">
        <v>-16000</v>
      </c>
      <c r="I1528">
        <v>-16000</v>
      </c>
    </row>
    <row r="1529" spans="1:9" x14ac:dyDescent="0.3">
      <c r="A1529" s="48" t="s">
        <v>43</v>
      </c>
      <c r="C1529">
        <v>-11000</v>
      </c>
      <c r="D1529">
        <v>10000</v>
      </c>
      <c r="E1529">
        <v>1000</v>
      </c>
      <c r="F1529">
        <v>5000</v>
      </c>
      <c r="G1529">
        <v>-17000</v>
      </c>
      <c r="H1529">
        <v>-17000</v>
      </c>
      <c r="I1529">
        <v>-17000</v>
      </c>
    </row>
    <row r="1530" spans="1:9" x14ac:dyDescent="0.3">
      <c r="A1530" s="48" t="s">
        <v>44</v>
      </c>
      <c r="C1530">
        <v>-10000</v>
      </c>
      <c r="D1530">
        <v>9000</v>
      </c>
      <c r="E1530">
        <v>0</v>
      </c>
      <c r="F1530">
        <v>4000</v>
      </c>
      <c r="G1530">
        <v>-18000</v>
      </c>
      <c r="H1530">
        <v>-18000</v>
      </c>
      <c r="I1530">
        <v>-18000</v>
      </c>
    </row>
    <row r="1531" spans="1:9" x14ac:dyDescent="0.3">
      <c r="A1531" s="48" t="s">
        <v>54</v>
      </c>
      <c r="C1531">
        <v>-9000</v>
      </c>
      <c r="D1531">
        <v>8000</v>
      </c>
      <c r="E1531">
        <v>-1000</v>
      </c>
      <c r="F1531">
        <v>3000</v>
      </c>
      <c r="G1531">
        <v>-19000</v>
      </c>
      <c r="H1531">
        <v>-19000</v>
      </c>
      <c r="I1531">
        <v>-19000</v>
      </c>
    </row>
    <row r="1532" spans="1:9" x14ac:dyDescent="0.3">
      <c r="A1532" s="48" t="s">
        <v>55</v>
      </c>
      <c r="C1532">
        <v>-8000</v>
      </c>
      <c r="D1532">
        <v>7000</v>
      </c>
      <c r="E1532">
        <v>-2000</v>
      </c>
      <c r="F1532">
        <v>2000</v>
      </c>
      <c r="G1532">
        <v>-20000</v>
      </c>
      <c r="H1532">
        <v>-20000</v>
      </c>
      <c r="I1532">
        <v>-20000</v>
      </c>
    </row>
    <row r="1533" spans="1:9" x14ac:dyDescent="0.3">
      <c r="A1533" s="48" t="s">
        <v>56</v>
      </c>
      <c r="C1533">
        <v>-7000</v>
      </c>
      <c r="D1533">
        <v>6000</v>
      </c>
      <c r="E1533">
        <v>-3000</v>
      </c>
      <c r="F1533">
        <v>1000</v>
      </c>
      <c r="G1533">
        <v>-21000</v>
      </c>
      <c r="H1533">
        <v>-21000</v>
      </c>
      <c r="I1533">
        <v>-21000</v>
      </c>
    </row>
    <row r="1534" spans="1:9" x14ac:dyDescent="0.3">
      <c r="A1534" s="48" t="s">
        <v>57</v>
      </c>
      <c r="C1534">
        <v>-6000</v>
      </c>
      <c r="D1534">
        <v>5000</v>
      </c>
      <c r="E1534">
        <v>-4000</v>
      </c>
      <c r="F1534">
        <v>0</v>
      </c>
      <c r="G1534">
        <v>-22000</v>
      </c>
      <c r="H1534">
        <v>-22000</v>
      </c>
      <c r="I1534">
        <v>-22000</v>
      </c>
    </row>
    <row r="1535" spans="1:9" x14ac:dyDescent="0.3">
      <c r="A1535" s="48" t="s">
        <v>58</v>
      </c>
      <c r="C1535">
        <v>-5000</v>
      </c>
      <c r="D1535">
        <v>4000</v>
      </c>
      <c r="E1535">
        <v>-5000</v>
      </c>
      <c r="F1535">
        <v>-1000</v>
      </c>
      <c r="G1535">
        <v>-23000</v>
      </c>
      <c r="H1535">
        <v>-23000</v>
      </c>
      <c r="I1535">
        <v>-23000</v>
      </c>
    </row>
    <row r="1536" spans="1:9" x14ac:dyDescent="0.3">
      <c r="A1536" s="14" t="s">
        <v>52</v>
      </c>
    </row>
    <row r="1537" spans="1:9" x14ac:dyDescent="0.3">
      <c r="A1537" s="15" t="s">
        <v>34</v>
      </c>
    </row>
    <row r="1538" spans="1:9" x14ac:dyDescent="0.3">
      <c r="A1538" s="48" t="s">
        <v>35</v>
      </c>
      <c r="C1538">
        <v>-6000</v>
      </c>
      <c r="D1538">
        <v>-6000</v>
      </c>
      <c r="E1538">
        <v>18000</v>
      </c>
      <c r="F1538">
        <v>16000</v>
      </c>
      <c r="G1538">
        <v>-6000</v>
      </c>
      <c r="H1538">
        <v>-6000</v>
      </c>
      <c r="I1538">
        <v>-6000</v>
      </c>
    </row>
    <row r="1539" spans="1:9" x14ac:dyDescent="0.3">
      <c r="A1539" s="48" t="s">
        <v>41</v>
      </c>
      <c r="C1539">
        <v>-5000</v>
      </c>
      <c r="D1539">
        <v>-7000</v>
      </c>
      <c r="E1539">
        <v>17000</v>
      </c>
      <c r="F1539">
        <v>15000</v>
      </c>
      <c r="G1539">
        <v>-7000</v>
      </c>
      <c r="H1539">
        <v>-7000</v>
      </c>
      <c r="I1539">
        <v>-7000</v>
      </c>
    </row>
    <row r="1540" spans="1:9" x14ac:dyDescent="0.3">
      <c r="A1540" s="48" t="s">
        <v>42</v>
      </c>
      <c r="C1540">
        <v>-4000</v>
      </c>
      <c r="D1540">
        <v>-8000</v>
      </c>
      <c r="E1540">
        <v>16000</v>
      </c>
      <c r="F1540">
        <v>14000</v>
      </c>
      <c r="G1540">
        <v>-8000</v>
      </c>
      <c r="H1540">
        <v>-8000</v>
      </c>
      <c r="I1540">
        <v>-8000</v>
      </c>
    </row>
    <row r="1541" spans="1:9" x14ac:dyDescent="0.3">
      <c r="A1541" s="48" t="s">
        <v>43</v>
      </c>
      <c r="C1541">
        <v>-3000</v>
      </c>
      <c r="D1541">
        <v>-9000</v>
      </c>
      <c r="E1541">
        <v>15000</v>
      </c>
      <c r="F1541">
        <v>13000</v>
      </c>
      <c r="G1541">
        <v>-9000</v>
      </c>
      <c r="H1541">
        <v>-9000</v>
      </c>
      <c r="I1541">
        <v>-9000</v>
      </c>
    </row>
    <row r="1542" spans="1:9" x14ac:dyDescent="0.3">
      <c r="A1542" s="48" t="s">
        <v>44</v>
      </c>
      <c r="C1542">
        <v>-2000</v>
      </c>
      <c r="D1542">
        <v>-10000</v>
      </c>
      <c r="E1542">
        <v>14000</v>
      </c>
      <c r="F1542">
        <v>12000</v>
      </c>
      <c r="G1542">
        <v>-10000</v>
      </c>
      <c r="H1542">
        <v>-10000</v>
      </c>
      <c r="I1542">
        <v>-10000</v>
      </c>
    </row>
    <row r="1543" spans="1:9" x14ac:dyDescent="0.3">
      <c r="A1543" s="48" t="s">
        <v>54</v>
      </c>
      <c r="C1543">
        <v>-1000</v>
      </c>
      <c r="D1543">
        <v>-11000</v>
      </c>
      <c r="E1543">
        <v>13000</v>
      </c>
      <c r="F1543">
        <v>11000</v>
      </c>
      <c r="G1543">
        <v>-11000</v>
      </c>
      <c r="H1543">
        <v>-11000</v>
      </c>
      <c r="I1543">
        <v>-11000</v>
      </c>
    </row>
    <row r="1544" spans="1:9" x14ac:dyDescent="0.3">
      <c r="A1544" s="48" t="s">
        <v>55</v>
      </c>
      <c r="C1544">
        <v>0</v>
      </c>
      <c r="D1544">
        <v>-12000</v>
      </c>
      <c r="E1544">
        <v>12000</v>
      </c>
      <c r="F1544">
        <v>10000</v>
      </c>
      <c r="G1544">
        <v>-12000</v>
      </c>
      <c r="H1544">
        <v>-12000</v>
      </c>
      <c r="I1544">
        <v>-12000</v>
      </c>
    </row>
    <row r="1545" spans="1:9" x14ac:dyDescent="0.3">
      <c r="A1545" s="48" t="s">
        <v>56</v>
      </c>
      <c r="C1545">
        <v>1000</v>
      </c>
      <c r="D1545">
        <v>-13000</v>
      </c>
      <c r="E1545">
        <v>11000</v>
      </c>
      <c r="F1545">
        <v>9000</v>
      </c>
      <c r="G1545">
        <v>-13000</v>
      </c>
      <c r="H1545">
        <v>-13000</v>
      </c>
      <c r="I1545">
        <v>-13000</v>
      </c>
    </row>
    <row r="1546" spans="1:9" x14ac:dyDescent="0.3">
      <c r="A1546" s="48" t="s">
        <v>57</v>
      </c>
      <c r="C1546">
        <v>2000</v>
      </c>
      <c r="D1546">
        <v>-14000</v>
      </c>
      <c r="E1546">
        <v>10000</v>
      </c>
      <c r="F1546">
        <v>8000</v>
      </c>
      <c r="G1546">
        <v>-14000</v>
      </c>
      <c r="H1546">
        <v>-14000</v>
      </c>
      <c r="I1546">
        <v>-14000</v>
      </c>
    </row>
    <row r="1547" spans="1:9" x14ac:dyDescent="0.3">
      <c r="A1547" s="48" t="s">
        <v>58</v>
      </c>
      <c r="C1547">
        <v>3000</v>
      </c>
      <c r="D1547">
        <v>-15000</v>
      </c>
      <c r="E1547">
        <v>9000</v>
      </c>
      <c r="F1547">
        <v>7000</v>
      </c>
      <c r="G1547">
        <v>-15000</v>
      </c>
      <c r="H1547">
        <v>-15000</v>
      </c>
      <c r="I1547">
        <v>-15000</v>
      </c>
    </row>
    <row r="1548" spans="1:9" x14ac:dyDescent="0.3">
      <c r="A1548" s="15" t="s">
        <v>45</v>
      </c>
    </row>
    <row r="1549" spans="1:9" x14ac:dyDescent="0.3">
      <c r="A1549" s="48" t="s">
        <v>35</v>
      </c>
      <c r="C1549">
        <v>-7000</v>
      </c>
      <c r="D1549">
        <v>-4000</v>
      </c>
      <c r="E1549">
        <v>17000</v>
      </c>
      <c r="F1549">
        <v>15000</v>
      </c>
      <c r="G1549">
        <v>-7000</v>
      </c>
      <c r="H1549">
        <v>-7000</v>
      </c>
      <c r="I1549">
        <v>-7000</v>
      </c>
    </row>
    <row r="1550" spans="1:9" x14ac:dyDescent="0.3">
      <c r="A1550" s="48" t="s">
        <v>41</v>
      </c>
      <c r="C1550">
        <v>-6000</v>
      </c>
      <c r="D1550">
        <v>-5000</v>
      </c>
      <c r="E1550">
        <v>16000</v>
      </c>
      <c r="F1550">
        <v>14000</v>
      </c>
      <c r="G1550">
        <v>-8000</v>
      </c>
      <c r="H1550">
        <v>-8000</v>
      </c>
      <c r="I1550">
        <v>-8000</v>
      </c>
    </row>
    <row r="1551" spans="1:9" x14ac:dyDescent="0.3">
      <c r="A1551" s="48" t="s">
        <v>42</v>
      </c>
      <c r="C1551">
        <v>-5000</v>
      </c>
      <c r="D1551">
        <v>-6000</v>
      </c>
      <c r="E1551">
        <v>15000</v>
      </c>
      <c r="F1551">
        <v>13000</v>
      </c>
      <c r="G1551">
        <v>-9000</v>
      </c>
      <c r="H1551">
        <v>-9000</v>
      </c>
      <c r="I1551">
        <v>-9000</v>
      </c>
    </row>
    <row r="1552" spans="1:9" x14ac:dyDescent="0.3">
      <c r="A1552" s="48" t="s">
        <v>43</v>
      </c>
      <c r="C1552">
        <v>-4000</v>
      </c>
      <c r="D1552">
        <v>-7000</v>
      </c>
      <c r="E1552">
        <v>14000</v>
      </c>
      <c r="F1552">
        <v>12000</v>
      </c>
      <c r="G1552">
        <v>-10000</v>
      </c>
      <c r="H1552">
        <v>-10000</v>
      </c>
      <c r="I1552">
        <v>-10000</v>
      </c>
    </row>
    <row r="1553" spans="1:9" x14ac:dyDescent="0.3">
      <c r="A1553" s="48" t="s">
        <v>44</v>
      </c>
      <c r="C1553">
        <v>-3000</v>
      </c>
      <c r="D1553">
        <v>-8000</v>
      </c>
      <c r="E1553">
        <v>13000</v>
      </c>
      <c r="F1553">
        <v>11000</v>
      </c>
      <c r="G1553">
        <v>-11000</v>
      </c>
      <c r="H1553">
        <v>-11000</v>
      </c>
      <c r="I1553">
        <v>-11000</v>
      </c>
    </row>
    <row r="1554" spans="1:9" x14ac:dyDescent="0.3">
      <c r="A1554" s="48" t="s">
        <v>54</v>
      </c>
      <c r="C1554">
        <v>-2000</v>
      </c>
      <c r="D1554">
        <v>-9000</v>
      </c>
      <c r="E1554">
        <v>12000</v>
      </c>
      <c r="F1554">
        <v>10000</v>
      </c>
      <c r="G1554">
        <v>-12000</v>
      </c>
      <c r="H1554">
        <v>-12000</v>
      </c>
      <c r="I1554">
        <v>-12000</v>
      </c>
    </row>
    <row r="1555" spans="1:9" x14ac:dyDescent="0.3">
      <c r="A1555" s="48" t="s">
        <v>55</v>
      </c>
      <c r="C1555">
        <v>-1000</v>
      </c>
      <c r="D1555">
        <v>-10000</v>
      </c>
      <c r="E1555">
        <v>11000</v>
      </c>
      <c r="F1555">
        <v>9000</v>
      </c>
      <c r="G1555">
        <v>-13000</v>
      </c>
      <c r="H1555">
        <v>-13000</v>
      </c>
      <c r="I1555">
        <v>-13000</v>
      </c>
    </row>
    <row r="1556" spans="1:9" x14ac:dyDescent="0.3">
      <c r="A1556" s="48" t="s">
        <v>56</v>
      </c>
      <c r="C1556">
        <v>0</v>
      </c>
      <c r="D1556">
        <v>-11000</v>
      </c>
      <c r="E1556">
        <v>10000</v>
      </c>
      <c r="F1556">
        <v>8000</v>
      </c>
      <c r="G1556">
        <v>-14000</v>
      </c>
      <c r="H1556">
        <v>-14000</v>
      </c>
      <c r="I1556">
        <v>-14000</v>
      </c>
    </row>
    <row r="1557" spans="1:9" x14ac:dyDescent="0.3">
      <c r="A1557" s="48" t="s">
        <v>57</v>
      </c>
      <c r="C1557">
        <v>1000</v>
      </c>
      <c r="D1557">
        <v>-12000</v>
      </c>
      <c r="E1557">
        <v>9000</v>
      </c>
      <c r="F1557">
        <v>7000</v>
      </c>
      <c r="G1557">
        <v>-15000</v>
      </c>
      <c r="H1557">
        <v>-15000</v>
      </c>
      <c r="I1557">
        <v>-15000</v>
      </c>
    </row>
    <row r="1558" spans="1:9" x14ac:dyDescent="0.3">
      <c r="A1558" s="48" t="s">
        <v>58</v>
      </c>
      <c r="C1558">
        <v>2000</v>
      </c>
      <c r="D1558">
        <v>-13000</v>
      </c>
      <c r="E1558">
        <v>8000</v>
      </c>
      <c r="F1558">
        <v>6000</v>
      </c>
      <c r="G1558">
        <v>-16000</v>
      </c>
      <c r="H1558">
        <v>-16000</v>
      </c>
      <c r="I1558">
        <v>-16000</v>
      </c>
    </row>
    <row r="1559" spans="1:9" x14ac:dyDescent="0.3">
      <c r="A1559" s="15" t="s">
        <v>46</v>
      </c>
    </row>
    <row r="1560" spans="1:9" x14ac:dyDescent="0.3">
      <c r="A1560" s="48" t="s">
        <v>35</v>
      </c>
      <c r="C1560">
        <v>-8000</v>
      </c>
      <c r="D1560">
        <v>-2000</v>
      </c>
      <c r="E1560">
        <v>16000</v>
      </c>
      <c r="F1560">
        <v>14000</v>
      </c>
      <c r="G1560">
        <v>-8000</v>
      </c>
      <c r="H1560">
        <v>-8000</v>
      </c>
      <c r="I1560">
        <v>-8000</v>
      </c>
    </row>
    <row r="1561" spans="1:9" x14ac:dyDescent="0.3">
      <c r="A1561" s="48" t="s">
        <v>41</v>
      </c>
      <c r="C1561">
        <v>-7000</v>
      </c>
      <c r="D1561">
        <v>-3000</v>
      </c>
      <c r="E1561">
        <v>15000</v>
      </c>
      <c r="F1561">
        <v>13000</v>
      </c>
      <c r="G1561">
        <v>-9000</v>
      </c>
      <c r="H1561">
        <v>-9000</v>
      </c>
      <c r="I1561">
        <v>-9000</v>
      </c>
    </row>
    <row r="1562" spans="1:9" x14ac:dyDescent="0.3">
      <c r="A1562" s="48" t="s">
        <v>42</v>
      </c>
      <c r="C1562">
        <v>-6000</v>
      </c>
      <c r="D1562">
        <v>-4000</v>
      </c>
      <c r="E1562">
        <v>14000</v>
      </c>
      <c r="F1562">
        <v>12000</v>
      </c>
      <c r="G1562">
        <v>-10000</v>
      </c>
      <c r="H1562">
        <v>-10000</v>
      </c>
      <c r="I1562">
        <v>-10000</v>
      </c>
    </row>
    <row r="1563" spans="1:9" x14ac:dyDescent="0.3">
      <c r="A1563" s="48" t="s">
        <v>43</v>
      </c>
      <c r="C1563">
        <v>-5000</v>
      </c>
      <c r="D1563">
        <v>-5000</v>
      </c>
      <c r="E1563">
        <v>13000</v>
      </c>
      <c r="F1563">
        <v>11000</v>
      </c>
      <c r="G1563">
        <v>-11000</v>
      </c>
      <c r="H1563">
        <v>-11000</v>
      </c>
      <c r="I1563">
        <v>-11000</v>
      </c>
    </row>
    <row r="1564" spans="1:9" x14ac:dyDescent="0.3">
      <c r="A1564" s="48" t="s">
        <v>44</v>
      </c>
      <c r="C1564">
        <v>-4000</v>
      </c>
      <c r="D1564">
        <v>-6000</v>
      </c>
      <c r="E1564">
        <v>12000</v>
      </c>
      <c r="F1564">
        <v>10000</v>
      </c>
      <c r="G1564">
        <v>-12000</v>
      </c>
      <c r="H1564">
        <v>-12000</v>
      </c>
      <c r="I1564">
        <v>-12000</v>
      </c>
    </row>
    <row r="1565" spans="1:9" x14ac:dyDescent="0.3">
      <c r="A1565" s="48" t="s">
        <v>54</v>
      </c>
      <c r="C1565">
        <v>-3000</v>
      </c>
      <c r="D1565">
        <v>-7000</v>
      </c>
      <c r="E1565">
        <v>11000</v>
      </c>
      <c r="F1565">
        <v>9000</v>
      </c>
      <c r="G1565">
        <v>-13000</v>
      </c>
      <c r="H1565">
        <v>-13000</v>
      </c>
      <c r="I1565">
        <v>-13000</v>
      </c>
    </row>
    <row r="1566" spans="1:9" x14ac:dyDescent="0.3">
      <c r="A1566" s="48" t="s">
        <v>55</v>
      </c>
      <c r="C1566">
        <v>-2000</v>
      </c>
      <c r="D1566">
        <v>-8000</v>
      </c>
      <c r="E1566">
        <v>10000</v>
      </c>
      <c r="F1566">
        <v>8000</v>
      </c>
      <c r="G1566">
        <v>-14000</v>
      </c>
      <c r="H1566">
        <v>-14000</v>
      </c>
      <c r="I1566">
        <v>-14000</v>
      </c>
    </row>
    <row r="1567" spans="1:9" x14ac:dyDescent="0.3">
      <c r="A1567" s="48" t="s">
        <v>56</v>
      </c>
      <c r="C1567">
        <v>-1000</v>
      </c>
      <c r="D1567">
        <v>-9000</v>
      </c>
      <c r="E1567">
        <v>9000</v>
      </c>
      <c r="F1567">
        <v>7000</v>
      </c>
      <c r="G1567">
        <v>-15000</v>
      </c>
      <c r="H1567">
        <v>-15000</v>
      </c>
      <c r="I1567">
        <v>-15000</v>
      </c>
    </row>
    <row r="1568" spans="1:9" x14ac:dyDescent="0.3">
      <c r="A1568" s="48" t="s">
        <v>57</v>
      </c>
      <c r="C1568">
        <v>0</v>
      </c>
      <c r="D1568">
        <v>-10000</v>
      </c>
      <c r="E1568">
        <v>8000</v>
      </c>
      <c r="F1568">
        <v>6000</v>
      </c>
      <c r="G1568">
        <v>-16000</v>
      </c>
      <c r="H1568">
        <v>-16000</v>
      </c>
      <c r="I1568">
        <v>-16000</v>
      </c>
    </row>
    <row r="1569" spans="1:9" x14ac:dyDescent="0.3">
      <c r="A1569" s="48" t="s">
        <v>58</v>
      </c>
      <c r="C1569">
        <v>1000</v>
      </c>
      <c r="D1569">
        <v>-11000</v>
      </c>
      <c r="E1569">
        <v>7000</v>
      </c>
      <c r="F1569">
        <v>5000</v>
      </c>
      <c r="G1569">
        <v>-17000</v>
      </c>
      <c r="H1569">
        <v>-17000</v>
      </c>
      <c r="I1569">
        <v>-17000</v>
      </c>
    </row>
    <row r="1570" spans="1:9" x14ac:dyDescent="0.3">
      <c r="A1570" s="15" t="s">
        <v>47</v>
      </c>
    </row>
    <row r="1571" spans="1:9" x14ac:dyDescent="0.3">
      <c r="A1571" s="48" t="s">
        <v>35</v>
      </c>
      <c r="C1571">
        <v>-9000</v>
      </c>
      <c r="D1571">
        <v>0</v>
      </c>
      <c r="E1571">
        <v>15000</v>
      </c>
      <c r="F1571">
        <v>13000</v>
      </c>
      <c r="G1571">
        <v>-9000</v>
      </c>
      <c r="H1571">
        <v>-9000</v>
      </c>
      <c r="I1571">
        <v>-9000</v>
      </c>
    </row>
    <row r="1572" spans="1:9" x14ac:dyDescent="0.3">
      <c r="A1572" s="48" t="s">
        <v>41</v>
      </c>
      <c r="C1572">
        <v>-8000</v>
      </c>
      <c r="D1572">
        <v>-1000</v>
      </c>
      <c r="E1572">
        <v>14000</v>
      </c>
      <c r="F1572">
        <v>12000</v>
      </c>
      <c r="G1572">
        <v>-10000</v>
      </c>
      <c r="H1572">
        <v>-10000</v>
      </c>
      <c r="I1572">
        <v>-10000</v>
      </c>
    </row>
    <row r="1573" spans="1:9" x14ac:dyDescent="0.3">
      <c r="A1573" s="48" t="s">
        <v>42</v>
      </c>
      <c r="C1573">
        <v>-7000</v>
      </c>
      <c r="D1573">
        <v>-2000</v>
      </c>
      <c r="E1573">
        <v>13000</v>
      </c>
      <c r="F1573">
        <v>11000</v>
      </c>
      <c r="G1573">
        <v>-11000</v>
      </c>
      <c r="H1573">
        <v>-11000</v>
      </c>
      <c r="I1573">
        <v>-11000</v>
      </c>
    </row>
    <row r="1574" spans="1:9" x14ac:dyDescent="0.3">
      <c r="A1574" s="48" t="s">
        <v>43</v>
      </c>
      <c r="C1574">
        <v>-6000</v>
      </c>
      <c r="D1574">
        <v>-3000</v>
      </c>
      <c r="E1574">
        <v>12000</v>
      </c>
      <c r="F1574">
        <v>10000</v>
      </c>
      <c r="G1574">
        <v>-12000</v>
      </c>
      <c r="H1574">
        <v>-12000</v>
      </c>
      <c r="I1574">
        <v>-12000</v>
      </c>
    </row>
    <row r="1575" spans="1:9" x14ac:dyDescent="0.3">
      <c r="A1575" s="48" t="s">
        <v>44</v>
      </c>
      <c r="C1575">
        <v>-5000</v>
      </c>
      <c r="D1575">
        <v>-4000</v>
      </c>
      <c r="E1575">
        <v>11000</v>
      </c>
      <c r="F1575">
        <v>9000</v>
      </c>
      <c r="G1575">
        <v>-13000</v>
      </c>
      <c r="H1575">
        <v>-13000</v>
      </c>
      <c r="I1575">
        <v>-13000</v>
      </c>
    </row>
    <row r="1576" spans="1:9" x14ac:dyDescent="0.3">
      <c r="A1576" s="48" t="s">
        <v>54</v>
      </c>
      <c r="C1576">
        <v>-4000</v>
      </c>
      <c r="D1576">
        <v>-5000</v>
      </c>
      <c r="E1576">
        <v>10000</v>
      </c>
      <c r="F1576">
        <v>8000</v>
      </c>
      <c r="G1576">
        <v>-14000</v>
      </c>
      <c r="H1576">
        <v>-14000</v>
      </c>
      <c r="I1576">
        <v>-14000</v>
      </c>
    </row>
    <row r="1577" spans="1:9" x14ac:dyDescent="0.3">
      <c r="A1577" s="48" t="s">
        <v>55</v>
      </c>
      <c r="C1577">
        <v>-3000</v>
      </c>
      <c r="D1577">
        <v>-6000</v>
      </c>
      <c r="E1577">
        <v>9000</v>
      </c>
      <c r="F1577">
        <v>7000</v>
      </c>
      <c r="G1577">
        <v>-15000</v>
      </c>
      <c r="H1577">
        <v>-15000</v>
      </c>
      <c r="I1577">
        <v>-15000</v>
      </c>
    </row>
    <row r="1578" spans="1:9" x14ac:dyDescent="0.3">
      <c r="A1578" s="48" t="s">
        <v>56</v>
      </c>
      <c r="C1578">
        <v>-2000</v>
      </c>
      <c r="D1578">
        <v>-7000</v>
      </c>
      <c r="E1578">
        <v>8000</v>
      </c>
      <c r="F1578">
        <v>6000</v>
      </c>
      <c r="G1578">
        <v>-16000</v>
      </c>
      <c r="H1578">
        <v>-16000</v>
      </c>
      <c r="I1578">
        <v>-16000</v>
      </c>
    </row>
    <row r="1579" spans="1:9" x14ac:dyDescent="0.3">
      <c r="A1579" s="48" t="s">
        <v>57</v>
      </c>
      <c r="C1579">
        <v>-1000</v>
      </c>
      <c r="D1579">
        <v>-8000</v>
      </c>
      <c r="E1579">
        <v>7000</v>
      </c>
      <c r="F1579">
        <v>5000</v>
      </c>
      <c r="G1579">
        <v>-17000</v>
      </c>
      <c r="H1579">
        <v>-17000</v>
      </c>
      <c r="I1579">
        <v>-17000</v>
      </c>
    </row>
    <row r="1580" spans="1:9" x14ac:dyDescent="0.3">
      <c r="A1580" s="48" t="s">
        <v>58</v>
      </c>
      <c r="C1580">
        <v>0</v>
      </c>
      <c r="D1580">
        <v>-9000</v>
      </c>
      <c r="E1580">
        <v>6000</v>
      </c>
      <c r="F1580">
        <v>4000</v>
      </c>
      <c r="G1580">
        <v>-18000</v>
      </c>
      <c r="H1580">
        <v>-18000</v>
      </c>
      <c r="I1580">
        <v>-18000</v>
      </c>
    </row>
    <row r="1581" spans="1:9" x14ac:dyDescent="0.3">
      <c r="A1581" s="15" t="s">
        <v>48</v>
      </c>
    </row>
    <row r="1582" spans="1:9" x14ac:dyDescent="0.3">
      <c r="A1582" s="48" t="s">
        <v>35</v>
      </c>
      <c r="C1582">
        <v>-10000</v>
      </c>
      <c r="D1582">
        <v>2000</v>
      </c>
      <c r="E1582">
        <v>14000</v>
      </c>
      <c r="F1582">
        <v>12000</v>
      </c>
      <c r="G1582">
        <v>-10000</v>
      </c>
      <c r="H1582">
        <v>-10000</v>
      </c>
      <c r="I1582">
        <v>-10000</v>
      </c>
    </row>
    <row r="1583" spans="1:9" x14ac:dyDescent="0.3">
      <c r="A1583" s="48" t="s">
        <v>41</v>
      </c>
      <c r="C1583">
        <v>-9000</v>
      </c>
      <c r="D1583">
        <v>1000</v>
      </c>
      <c r="E1583">
        <v>13000</v>
      </c>
      <c r="F1583">
        <v>11000</v>
      </c>
      <c r="G1583">
        <v>-11000</v>
      </c>
      <c r="H1583">
        <v>-11000</v>
      </c>
      <c r="I1583">
        <v>-11000</v>
      </c>
    </row>
    <row r="1584" spans="1:9" x14ac:dyDescent="0.3">
      <c r="A1584" s="48" t="s">
        <v>42</v>
      </c>
      <c r="C1584">
        <v>-8000</v>
      </c>
      <c r="D1584">
        <v>0</v>
      </c>
      <c r="E1584">
        <v>12000</v>
      </c>
      <c r="F1584">
        <v>10000</v>
      </c>
      <c r="G1584">
        <v>-12000</v>
      </c>
      <c r="H1584">
        <v>-12000</v>
      </c>
      <c r="I1584">
        <v>-12000</v>
      </c>
    </row>
    <row r="1585" spans="1:9" x14ac:dyDescent="0.3">
      <c r="A1585" s="48" t="s">
        <v>43</v>
      </c>
      <c r="C1585">
        <v>-7000</v>
      </c>
      <c r="D1585">
        <v>-1000</v>
      </c>
      <c r="E1585">
        <v>11000</v>
      </c>
      <c r="F1585">
        <v>9000</v>
      </c>
      <c r="G1585">
        <v>-13000</v>
      </c>
      <c r="H1585">
        <v>-13000</v>
      </c>
      <c r="I1585">
        <v>-13000</v>
      </c>
    </row>
    <row r="1586" spans="1:9" x14ac:dyDescent="0.3">
      <c r="A1586" s="48" t="s">
        <v>44</v>
      </c>
      <c r="C1586">
        <v>-6000</v>
      </c>
      <c r="D1586">
        <v>-2000</v>
      </c>
      <c r="E1586">
        <v>10000</v>
      </c>
      <c r="F1586">
        <v>8000</v>
      </c>
      <c r="G1586">
        <v>-14000</v>
      </c>
      <c r="H1586">
        <v>-14000</v>
      </c>
      <c r="I1586">
        <v>-14000</v>
      </c>
    </row>
    <row r="1587" spans="1:9" x14ac:dyDescent="0.3">
      <c r="A1587" s="48" t="s">
        <v>54</v>
      </c>
      <c r="C1587">
        <v>-5000</v>
      </c>
      <c r="D1587">
        <v>-3000</v>
      </c>
      <c r="E1587">
        <v>9000</v>
      </c>
      <c r="F1587">
        <v>7000</v>
      </c>
      <c r="G1587">
        <v>-15000</v>
      </c>
      <c r="H1587">
        <v>-15000</v>
      </c>
      <c r="I1587">
        <v>-15000</v>
      </c>
    </row>
    <row r="1588" spans="1:9" x14ac:dyDescent="0.3">
      <c r="A1588" s="48" t="s">
        <v>55</v>
      </c>
      <c r="C1588">
        <v>-4000</v>
      </c>
      <c r="D1588">
        <v>-4000</v>
      </c>
      <c r="E1588">
        <v>8000</v>
      </c>
      <c r="F1588">
        <v>6000</v>
      </c>
      <c r="G1588">
        <v>-16000</v>
      </c>
      <c r="H1588">
        <v>-16000</v>
      </c>
      <c r="I1588">
        <v>-16000</v>
      </c>
    </row>
    <row r="1589" spans="1:9" x14ac:dyDescent="0.3">
      <c r="A1589" s="48" t="s">
        <v>56</v>
      </c>
      <c r="C1589">
        <v>-3000</v>
      </c>
      <c r="D1589">
        <v>-5000</v>
      </c>
      <c r="E1589">
        <v>7000</v>
      </c>
      <c r="F1589">
        <v>5000</v>
      </c>
      <c r="G1589">
        <v>-17000</v>
      </c>
      <c r="H1589">
        <v>-17000</v>
      </c>
      <c r="I1589">
        <v>-17000</v>
      </c>
    </row>
    <row r="1590" spans="1:9" x14ac:dyDescent="0.3">
      <c r="A1590" s="48" t="s">
        <v>57</v>
      </c>
      <c r="C1590">
        <v>-2000</v>
      </c>
      <c r="D1590">
        <v>-6000</v>
      </c>
      <c r="E1590">
        <v>6000</v>
      </c>
      <c r="F1590">
        <v>4000</v>
      </c>
      <c r="G1590">
        <v>-18000</v>
      </c>
      <c r="H1590">
        <v>-18000</v>
      </c>
      <c r="I1590">
        <v>-18000</v>
      </c>
    </row>
    <row r="1591" spans="1:9" x14ac:dyDescent="0.3">
      <c r="A1591" s="48" t="s">
        <v>58</v>
      </c>
      <c r="C1591">
        <v>-1000</v>
      </c>
      <c r="D1591">
        <v>-7000</v>
      </c>
      <c r="E1591">
        <v>5000</v>
      </c>
      <c r="F1591">
        <v>3000</v>
      </c>
      <c r="G1591">
        <v>-19000</v>
      </c>
      <c r="H1591">
        <v>-19000</v>
      </c>
      <c r="I1591">
        <v>-19000</v>
      </c>
    </row>
    <row r="1592" spans="1:9" x14ac:dyDescent="0.3">
      <c r="A1592" s="15" t="s">
        <v>59</v>
      </c>
    </row>
    <row r="1593" spans="1:9" x14ac:dyDescent="0.3">
      <c r="A1593" s="48" t="s">
        <v>35</v>
      </c>
      <c r="C1593">
        <v>-11000</v>
      </c>
      <c r="D1593">
        <v>4000</v>
      </c>
      <c r="E1593">
        <v>13000</v>
      </c>
      <c r="F1593">
        <v>11000</v>
      </c>
      <c r="G1593">
        <v>-11000</v>
      </c>
      <c r="H1593">
        <v>-11000</v>
      </c>
      <c r="I1593">
        <v>-11000</v>
      </c>
    </row>
    <row r="1594" spans="1:9" x14ac:dyDescent="0.3">
      <c r="A1594" s="48" t="s">
        <v>41</v>
      </c>
      <c r="C1594">
        <v>-10000</v>
      </c>
      <c r="D1594">
        <v>3000</v>
      </c>
      <c r="E1594">
        <v>12000</v>
      </c>
      <c r="F1594">
        <v>10000</v>
      </c>
      <c r="G1594">
        <v>-12000</v>
      </c>
      <c r="H1594">
        <v>-12000</v>
      </c>
      <c r="I1594">
        <v>-12000</v>
      </c>
    </row>
    <row r="1595" spans="1:9" x14ac:dyDescent="0.3">
      <c r="A1595" s="48" t="s">
        <v>42</v>
      </c>
      <c r="C1595">
        <v>-9000</v>
      </c>
      <c r="D1595">
        <v>2000</v>
      </c>
      <c r="E1595">
        <v>11000</v>
      </c>
      <c r="F1595">
        <v>9000</v>
      </c>
      <c r="G1595">
        <v>-13000</v>
      </c>
      <c r="H1595">
        <v>-13000</v>
      </c>
      <c r="I1595">
        <v>-13000</v>
      </c>
    </row>
    <row r="1596" spans="1:9" x14ac:dyDescent="0.3">
      <c r="A1596" s="48" t="s">
        <v>43</v>
      </c>
      <c r="C1596">
        <v>-8000</v>
      </c>
      <c r="D1596">
        <v>1000</v>
      </c>
      <c r="E1596">
        <v>10000</v>
      </c>
      <c r="F1596">
        <v>8000</v>
      </c>
      <c r="G1596">
        <v>-14000</v>
      </c>
      <c r="H1596">
        <v>-14000</v>
      </c>
      <c r="I1596">
        <v>-14000</v>
      </c>
    </row>
    <row r="1597" spans="1:9" x14ac:dyDescent="0.3">
      <c r="A1597" s="48" t="s">
        <v>44</v>
      </c>
      <c r="C1597">
        <v>-7000</v>
      </c>
      <c r="D1597">
        <v>0</v>
      </c>
      <c r="E1597">
        <v>9000</v>
      </c>
      <c r="F1597">
        <v>7000</v>
      </c>
      <c r="G1597">
        <v>-15000</v>
      </c>
      <c r="H1597">
        <v>-15000</v>
      </c>
      <c r="I1597">
        <v>-15000</v>
      </c>
    </row>
    <row r="1598" spans="1:9" x14ac:dyDescent="0.3">
      <c r="A1598" s="48" t="s">
        <v>54</v>
      </c>
      <c r="C1598">
        <v>-6000</v>
      </c>
      <c r="D1598">
        <v>-1000</v>
      </c>
      <c r="E1598">
        <v>8000</v>
      </c>
      <c r="F1598">
        <v>6000</v>
      </c>
      <c r="G1598">
        <v>-16000</v>
      </c>
      <c r="H1598">
        <v>-16000</v>
      </c>
      <c r="I1598">
        <v>-16000</v>
      </c>
    </row>
    <row r="1599" spans="1:9" x14ac:dyDescent="0.3">
      <c r="A1599" s="48" t="s">
        <v>55</v>
      </c>
      <c r="C1599">
        <v>-5000</v>
      </c>
      <c r="D1599">
        <v>-2000</v>
      </c>
      <c r="E1599">
        <v>7000</v>
      </c>
      <c r="F1599">
        <v>5000</v>
      </c>
      <c r="G1599">
        <v>-17000</v>
      </c>
      <c r="H1599">
        <v>-17000</v>
      </c>
      <c r="I1599">
        <v>-17000</v>
      </c>
    </row>
    <row r="1600" spans="1:9" x14ac:dyDescent="0.3">
      <c r="A1600" s="48" t="s">
        <v>56</v>
      </c>
      <c r="C1600">
        <v>-4000</v>
      </c>
      <c r="D1600">
        <v>-3000</v>
      </c>
      <c r="E1600">
        <v>6000</v>
      </c>
      <c r="F1600">
        <v>4000</v>
      </c>
      <c r="G1600">
        <v>-18000</v>
      </c>
      <c r="H1600">
        <v>-18000</v>
      </c>
      <c r="I1600">
        <v>-18000</v>
      </c>
    </row>
    <row r="1601" spans="1:9" x14ac:dyDescent="0.3">
      <c r="A1601" s="48" t="s">
        <v>57</v>
      </c>
      <c r="C1601">
        <v>-3000</v>
      </c>
      <c r="D1601">
        <v>-4000</v>
      </c>
      <c r="E1601">
        <v>5000</v>
      </c>
      <c r="F1601">
        <v>3000</v>
      </c>
      <c r="G1601">
        <v>-19000</v>
      </c>
      <c r="H1601">
        <v>-19000</v>
      </c>
      <c r="I1601">
        <v>-19000</v>
      </c>
    </row>
    <row r="1602" spans="1:9" x14ac:dyDescent="0.3">
      <c r="A1602" s="48" t="s">
        <v>58</v>
      </c>
      <c r="C1602">
        <v>-2000</v>
      </c>
      <c r="D1602">
        <v>-5000</v>
      </c>
      <c r="E1602">
        <v>4000</v>
      </c>
      <c r="F1602">
        <v>2000</v>
      </c>
      <c r="G1602">
        <v>-20000</v>
      </c>
      <c r="H1602">
        <v>-20000</v>
      </c>
      <c r="I1602">
        <v>-20000</v>
      </c>
    </row>
    <row r="1603" spans="1:9" x14ac:dyDescent="0.3">
      <c r="A1603" s="15" t="s">
        <v>60</v>
      </c>
    </row>
    <row r="1604" spans="1:9" x14ac:dyDescent="0.3">
      <c r="A1604" s="48" t="s">
        <v>35</v>
      </c>
      <c r="C1604">
        <v>-12000</v>
      </c>
      <c r="D1604">
        <v>6000</v>
      </c>
      <c r="E1604">
        <v>12000</v>
      </c>
      <c r="F1604">
        <v>10000</v>
      </c>
      <c r="G1604">
        <v>-12000</v>
      </c>
      <c r="H1604">
        <v>-12000</v>
      </c>
      <c r="I1604">
        <v>-12000</v>
      </c>
    </row>
    <row r="1605" spans="1:9" x14ac:dyDescent="0.3">
      <c r="A1605" s="48" t="s">
        <v>41</v>
      </c>
      <c r="C1605">
        <v>-11000</v>
      </c>
      <c r="D1605">
        <v>5000</v>
      </c>
      <c r="E1605">
        <v>11000</v>
      </c>
      <c r="F1605">
        <v>9000</v>
      </c>
      <c r="G1605">
        <v>-13000</v>
      </c>
      <c r="H1605">
        <v>-13000</v>
      </c>
      <c r="I1605">
        <v>-13000</v>
      </c>
    </row>
    <row r="1606" spans="1:9" x14ac:dyDescent="0.3">
      <c r="A1606" s="48" t="s">
        <v>42</v>
      </c>
      <c r="C1606">
        <v>-10000</v>
      </c>
      <c r="D1606">
        <v>4000</v>
      </c>
      <c r="E1606">
        <v>10000</v>
      </c>
      <c r="F1606">
        <v>8000</v>
      </c>
      <c r="G1606">
        <v>-14000</v>
      </c>
      <c r="H1606">
        <v>-14000</v>
      </c>
      <c r="I1606">
        <v>-14000</v>
      </c>
    </row>
    <row r="1607" spans="1:9" x14ac:dyDescent="0.3">
      <c r="A1607" s="48" t="s">
        <v>43</v>
      </c>
      <c r="C1607">
        <v>-9000</v>
      </c>
      <c r="D1607">
        <v>3000</v>
      </c>
      <c r="E1607">
        <v>9000</v>
      </c>
      <c r="F1607">
        <v>7000</v>
      </c>
      <c r="G1607">
        <v>-15000</v>
      </c>
      <c r="H1607">
        <v>-15000</v>
      </c>
      <c r="I1607">
        <v>-15000</v>
      </c>
    </row>
    <row r="1608" spans="1:9" x14ac:dyDescent="0.3">
      <c r="A1608" s="48" t="s">
        <v>44</v>
      </c>
      <c r="C1608">
        <v>-8000</v>
      </c>
      <c r="D1608">
        <v>2000</v>
      </c>
      <c r="E1608">
        <v>8000</v>
      </c>
      <c r="F1608">
        <v>6000</v>
      </c>
      <c r="G1608">
        <v>-16000</v>
      </c>
      <c r="H1608">
        <v>-16000</v>
      </c>
      <c r="I1608">
        <v>-16000</v>
      </c>
    </row>
    <row r="1609" spans="1:9" x14ac:dyDescent="0.3">
      <c r="A1609" s="48" t="s">
        <v>54</v>
      </c>
      <c r="C1609">
        <v>-7000</v>
      </c>
      <c r="D1609">
        <v>1000</v>
      </c>
      <c r="E1609">
        <v>7000</v>
      </c>
      <c r="F1609">
        <v>5000</v>
      </c>
      <c r="G1609">
        <v>-17000</v>
      </c>
      <c r="H1609">
        <v>-17000</v>
      </c>
      <c r="I1609">
        <v>-17000</v>
      </c>
    </row>
    <row r="1610" spans="1:9" x14ac:dyDescent="0.3">
      <c r="A1610" s="48" t="s">
        <v>55</v>
      </c>
      <c r="C1610">
        <v>-6000</v>
      </c>
      <c r="D1610">
        <v>0</v>
      </c>
      <c r="E1610">
        <v>6000</v>
      </c>
      <c r="F1610">
        <v>4000</v>
      </c>
      <c r="G1610">
        <v>-18000</v>
      </c>
      <c r="H1610">
        <v>-18000</v>
      </c>
      <c r="I1610">
        <v>-18000</v>
      </c>
    </row>
    <row r="1611" spans="1:9" x14ac:dyDescent="0.3">
      <c r="A1611" s="48" t="s">
        <v>56</v>
      </c>
      <c r="C1611">
        <v>-5000</v>
      </c>
      <c r="D1611">
        <v>-1000</v>
      </c>
      <c r="E1611">
        <v>5000</v>
      </c>
      <c r="F1611">
        <v>3000</v>
      </c>
      <c r="G1611">
        <v>-19000</v>
      </c>
      <c r="H1611">
        <v>-19000</v>
      </c>
      <c r="I1611">
        <v>-19000</v>
      </c>
    </row>
    <row r="1612" spans="1:9" x14ac:dyDescent="0.3">
      <c r="A1612" s="48" t="s">
        <v>57</v>
      </c>
      <c r="C1612">
        <v>-4000</v>
      </c>
      <c r="D1612">
        <v>-2000</v>
      </c>
      <c r="E1612">
        <v>4000</v>
      </c>
      <c r="F1612">
        <v>2000</v>
      </c>
      <c r="G1612">
        <v>-20000</v>
      </c>
      <c r="H1612">
        <v>-20000</v>
      </c>
      <c r="I1612">
        <v>-20000</v>
      </c>
    </row>
    <row r="1613" spans="1:9" x14ac:dyDescent="0.3">
      <c r="A1613" s="48" t="s">
        <v>58</v>
      </c>
      <c r="C1613">
        <v>-3000</v>
      </c>
      <c r="D1613">
        <v>-3000</v>
      </c>
      <c r="E1613">
        <v>3000</v>
      </c>
      <c r="F1613">
        <v>1000</v>
      </c>
      <c r="G1613">
        <v>-21000</v>
      </c>
      <c r="H1613">
        <v>-21000</v>
      </c>
      <c r="I1613">
        <v>-21000</v>
      </c>
    </row>
    <row r="1614" spans="1:9" x14ac:dyDescent="0.3">
      <c r="A1614" s="15" t="s">
        <v>61</v>
      </c>
    </row>
    <row r="1615" spans="1:9" x14ac:dyDescent="0.3">
      <c r="A1615" s="48" t="s">
        <v>35</v>
      </c>
      <c r="C1615">
        <v>-13000</v>
      </c>
      <c r="D1615">
        <v>8000</v>
      </c>
      <c r="E1615">
        <v>11000</v>
      </c>
      <c r="F1615">
        <v>9000</v>
      </c>
      <c r="G1615">
        <v>-13000</v>
      </c>
      <c r="H1615">
        <v>-13000</v>
      </c>
      <c r="I1615">
        <v>-13000</v>
      </c>
    </row>
    <row r="1616" spans="1:9" x14ac:dyDescent="0.3">
      <c r="A1616" s="48" t="s">
        <v>41</v>
      </c>
      <c r="C1616">
        <v>-12000</v>
      </c>
      <c r="D1616">
        <v>7000</v>
      </c>
      <c r="E1616">
        <v>10000</v>
      </c>
      <c r="F1616">
        <v>8000</v>
      </c>
      <c r="G1616">
        <v>-14000</v>
      </c>
      <c r="H1616">
        <v>-14000</v>
      </c>
      <c r="I1616">
        <v>-14000</v>
      </c>
    </row>
    <row r="1617" spans="1:9" x14ac:dyDescent="0.3">
      <c r="A1617" s="48" t="s">
        <v>42</v>
      </c>
      <c r="C1617">
        <v>-11000</v>
      </c>
      <c r="D1617">
        <v>6000</v>
      </c>
      <c r="E1617">
        <v>9000</v>
      </c>
      <c r="F1617">
        <v>7000</v>
      </c>
      <c r="G1617">
        <v>-15000</v>
      </c>
      <c r="H1617">
        <v>-15000</v>
      </c>
      <c r="I1617">
        <v>-15000</v>
      </c>
    </row>
    <row r="1618" spans="1:9" x14ac:dyDescent="0.3">
      <c r="A1618" s="48" t="s">
        <v>43</v>
      </c>
      <c r="C1618">
        <v>-10000</v>
      </c>
      <c r="D1618">
        <v>5000</v>
      </c>
      <c r="E1618">
        <v>8000</v>
      </c>
      <c r="F1618">
        <v>6000</v>
      </c>
      <c r="G1618">
        <v>-16000</v>
      </c>
      <c r="H1618">
        <v>-16000</v>
      </c>
      <c r="I1618">
        <v>-16000</v>
      </c>
    </row>
    <row r="1619" spans="1:9" x14ac:dyDescent="0.3">
      <c r="A1619" s="48" t="s">
        <v>44</v>
      </c>
      <c r="C1619">
        <v>-9000</v>
      </c>
      <c r="D1619">
        <v>4000</v>
      </c>
      <c r="E1619">
        <v>7000</v>
      </c>
      <c r="F1619">
        <v>5000</v>
      </c>
      <c r="G1619">
        <v>-17000</v>
      </c>
      <c r="H1619">
        <v>-17000</v>
      </c>
      <c r="I1619">
        <v>-17000</v>
      </c>
    </row>
    <row r="1620" spans="1:9" x14ac:dyDescent="0.3">
      <c r="A1620" s="48" t="s">
        <v>54</v>
      </c>
      <c r="C1620">
        <v>-8000</v>
      </c>
      <c r="D1620">
        <v>3000</v>
      </c>
      <c r="E1620">
        <v>6000</v>
      </c>
      <c r="F1620">
        <v>4000</v>
      </c>
      <c r="G1620">
        <v>-18000</v>
      </c>
      <c r="H1620">
        <v>-18000</v>
      </c>
      <c r="I1620">
        <v>-18000</v>
      </c>
    </row>
    <row r="1621" spans="1:9" x14ac:dyDescent="0.3">
      <c r="A1621" s="48" t="s">
        <v>55</v>
      </c>
      <c r="C1621">
        <v>-7000</v>
      </c>
      <c r="D1621">
        <v>2000</v>
      </c>
      <c r="E1621">
        <v>5000</v>
      </c>
      <c r="F1621">
        <v>3000</v>
      </c>
      <c r="G1621">
        <v>-19000</v>
      </c>
      <c r="H1621">
        <v>-19000</v>
      </c>
      <c r="I1621">
        <v>-19000</v>
      </c>
    </row>
    <row r="1622" spans="1:9" x14ac:dyDescent="0.3">
      <c r="A1622" s="48" t="s">
        <v>56</v>
      </c>
      <c r="C1622">
        <v>-6000</v>
      </c>
      <c r="D1622">
        <v>1000</v>
      </c>
      <c r="E1622">
        <v>4000</v>
      </c>
      <c r="F1622">
        <v>2000</v>
      </c>
      <c r="G1622">
        <v>-20000</v>
      </c>
      <c r="H1622">
        <v>-20000</v>
      </c>
      <c r="I1622">
        <v>-20000</v>
      </c>
    </row>
    <row r="1623" spans="1:9" x14ac:dyDescent="0.3">
      <c r="A1623" s="48" t="s">
        <v>57</v>
      </c>
      <c r="C1623">
        <v>-5000</v>
      </c>
      <c r="D1623">
        <v>0</v>
      </c>
      <c r="E1623">
        <v>3000</v>
      </c>
      <c r="F1623">
        <v>1000</v>
      </c>
      <c r="G1623">
        <v>-21000</v>
      </c>
      <c r="H1623">
        <v>-21000</v>
      </c>
      <c r="I1623">
        <v>-21000</v>
      </c>
    </row>
    <row r="1624" spans="1:9" x14ac:dyDescent="0.3">
      <c r="A1624" s="48" t="s">
        <v>58</v>
      </c>
      <c r="C1624">
        <v>-4000</v>
      </c>
      <c r="D1624">
        <v>-1000</v>
      </c>
      <c r="E1624">
        <v>2000</v>
      </c>
      <c r="F1624">
        <v>0</v>
      </c>
      <c r="G1624">
        <v>-22000</v>
      </c>
      <c r="H1624">
        <v>-22000</v>
      </c>
      <c r="I1624">
        <v>-22000</v>
      </c>
    </row>
    <row r="1625" spans="1:9" x14ac:dyDescent="0.3">
      <c r="A1625" s="15" t="s">
        <v>62</v>
      </c>
    </row>
    <row r="1626" spans="1:9" x14ac:dyDescent="0.3">
      <c r="A1626" s="48" t="s">
        <v>35</v>
      </c>
      <c r="C1626">
        <v>-14000</v>
      </c>
      <c r="D1626">
        <v>10000</v>
      </c>
      <c r="E1626">
        <v>10000</v>
      </c>
      <c r="F1626">
        <v>8000</v>
      </c>
      <c r="G1626">
        <v>-14000</v>
      </c>
      <c r="H1626">
        <v>-14000</v>
      </c>
      <c r="I1626">
        <v>-14000</v>
      </c>
    </row>
    <row r="1627" spans="1:9" x14ac:dyDescent="0.3">
      <c r="A1627" s="48" t="s">
        <v>41</v>
      </c>
      <c r="C1627">
        <v>-13000</v>
      </c>
      <c r="D1627">
        <v>9000</v>
      </c>
      <c r="E1627">
        <v>9000</v>
      </c>
      <c r="F1627">
        <v>7000</v>
      </c>
      <c r="G1627">
        <v>-15000</v>
      </c>
      <c r="H1627">
        <v>-15000</v>
      </c>
      <c r="I1627">
        <v>-15000</v>
      </c>
    </row>
    <row r="1628" spans="1:9" x14ac:dyDescent="0.3">
      <c r="A1628" s="48" t="s">
        <v>42</v>
      </c>
      <c r="C1628">
        <v>-12000</v>
      </c>
      <c r="D1628">
        <v>8000</v>
      </c>
      <c r="E1628">
        <v>8000</v>
      </c>
      <c r="F1628">
        <v>6000</v>
      </c>
      <c r="G1628">
        <v>-16000</v>
      </c>
      <c r="H1628">
        <v>-16000</v>
      </c>
      <c r="I1628">
        <v>-16000</v>
      </c>
    </row>
    <row r="1629" spans="1:9" x14ac:dyDescent="0.3">
      <c r="A1629" s="48" t="s">
        <v>43</v>
      </c>
      <c r="C1629">
        <v>-11000</v>
      </c>
      <c r="D1629">
        <v>7000</v>
      </c>
      <c r="E1629">
        <v>7000</v>
      </c>
      <c r="F1629">
        <v>5000</v>
      </c>
      <c r="G1629">
        <v>-17000</v>
      </c>
      <c r="H1629">
        <v>-17000</v>
      </c>
      <c r="I1629">
        <v>-17000</v>
      </c>
    </row>
    <row r="1630" spans="1:9" x14ac:dyDescent="0.3">
      <c r="A1630" s="48" t="s">
        <v>44</v>
      </c>
      <c r="C1630">
        <v>-10000</v>
      </c>
      <c r="D1630">
        <v>6000</v>
      </c>
      <c r="E1630">
        <v>6000</v>
      </c>
      <c r="F1630">
        <v>4000</v>
      </c>
      <c r="G1630">
        <v>-18000</v>
      </c>
      <c r="H1630">
        <v>-18000</v>
      </c>
      <c r="I1630">
        <v>-18000</v>
      </c>
    </row>
    <row r="1631" spans="1:9" x14ac:dyDescent="0.3">
      <c r="A1631" s="48" t="s">
        <v>54</v>
      </c>
      <c r="C1631">
        <v>-9000</v>
      </c>
      <c r="D1631">
        <v>5000</v>
      </c>
      <c r="E1631">
        <v>5000</v>
      </c>
      <c r="F1631">
        <v>3000</v>
      </c>
      <c r="G1631">
        <v>-19000</v>
      </c>
      <c r="H1631">
        <v>-19000</v>
      </c>
      <c r="I1631">
        <v>-19000</v>
      </c>
    </row>
    <row r="1632" spans="1:9" x14ac:dyDescent="0.3">
      <c r="A1632" s="48" t="s">
        <v>55</v>
      </c>
      <c r="C1632">
        <v>-8000</v>
      </c>
      <c r="D1632">
        <v>4000</v>
      </c>
      <c r="E1632">
        <v>4000</v>
      </c>
      <c r="F1632">
        <v>2000</v>
      </c>
      <c r="G1632">
        <v>-20000</v>
      </c>
      <c r="H1632">
        <v>-20000</v>
      </c>
      <c r="I1632">
        <v>-20000</v>
      </c>
    </row>
    <row r="1633" spans="1:9" x14ac:dyDescent="0.3">
      <c r="A1633" s="48" t="s">
        <v>56</v>
      </c>
      <c r="C1633">
        <v>-7000</v>
      </c>
      <c r="D1633">
        <v>3000</v>
      </c>
      <c r="E1633">
        <v>3000</v>
      </c>
      <c r="F1633">
        <v>1000</v>
      </c>
      <c r="G1633">
        <v>-21000</v>
      </c>
      <c r="H1633">
        <v>-21000</v>
      </c>
      <c r="I1633">
        <v>-21000</v>
      </c>
    </row>
    <row r="1634" spans="1:9" x14ac:dyDescent="0.3">
      <c r="A1634" s="48" t="s">
        <v>57</v>
      </c>
      <c r="C1634">
        <v>-6000</v>
      </c>
      <c r="D1634">
        <v>2000</v>
      </c>
      <c r="E1634">
        <v>2000</v>
      </c>
      <c r="F1634">
        <v>0</v>
      </c>
      <c r="G1634">
        <v>-22000</v>
      </c>
      <c r="H1634">
        <v>-22000</v>
      </c>
      <c r="I1634">
        <v>-22000</v>
      </c>
    </row>
    <row r="1635" spans="1:9" x14ac:dyDescent="0.3">
      <c r="A1635" s="48" t="s">
        <v>58</v>
      </c>
      <c r="C1635">
        <v>-5000</v>
      </c>
      <c r="D1635">
        <v>1000</v>
      </c>
      <c r="E1635">
        <v>1000</v>
      </c>
      <c r="F1635">
        <v>-1000</v>
      </c>
      <c r="G1635">
        <v>-23000</v>
      </c>
      <c r="H1635">
        <v>-23000</v>
      </c>
      <c r="I1635">
        <v>-23000</v>
      </c>
    </row>
    <row r="1636" spans="1:9" x14ac:dyDescent="0.3">
      <c r="A1636" s="15" t="s">
        <v>63</v>
      </c>
    </row>
    <row r="1637" spans="1:9" x14ac:dyDescent="0.3">
      <c r="A1637" s="48" t="s">
        <v>35</v>
      </c>
      <c r="C1637">
        <v>-15000</v>
      </c>
      <c r="D1637">
        <v>12000</v>
      </c>
      <c r="E1637">
        <v>9000</v>
      </c>
      <c r="F1637">
        <v>7000</v>
      </c>
      <c r="G1637">
        <v>-15000</v>
      </c>
      <c r="H1637">
        <v>-15000</v>
      </c>
      <c r="I1637">
        <v>-15000</v>
      </c>
    </row>
    <row r="1638" spans="1:9" x14ac:dyDescent="0.3">
      <c r="A1638" s="48" t="s">
        <v>41</v>
      </c>
      <c r="C1638">
        <v>-14000</v>
      </c>
      <c r="D1638">
        <v>11000</v>
      </c>
      <c r="E1638">
        <v>8000</v>
      </c>
      <c r="F1638">
        <v>6000</v>
      </c>
      <c r="G1638">
        <v>-16000</v>
      </c>
      <c r="H1638">
        <v>-16000</v>
      </c>
      <c r="I1638">
        <v>-16000</v>
      </c>
    </row>
    <row r="1639" spans="1:9" x14ac:dyDescent="0.3">
      <c r="A1639" s="48" t="s">
        <v>42</v>
      </c>
      <c r="C1639">
        <v>-13000</v>
      </c>
      <c r="D1639">
        <v>10000</v>
      </c>
      <c r="E1639">
        <v>7000</v>
      </c>
      <c r="F1639">
        <v>5000</v>
      </c>
      <c r="G1639">
        <v>-17000</v>
      </c>
      <c r="H1639">
        <v>-17000</v>
      </c>
      <c r="I1639">
        <v>-17000</v>
      </c>
    </row>
    <row r="1640" spans="1:9" x14ac:dyDescent="0.3">
      <c r="A1640" s="48" t="s">
        <v>43</v>
      </c>
      <c r="C1640">
        <v>-12000</v>
      </c>
      <c r="D1640">
        <v>9000</v>
      </c>
      <c r="E1640">
        <v>6000</v>
      </c>
      <c r="F1640">
        <v>4000</v>
      </c>
      <c r="G1640">
        <v>-18000</v>
      </c>
      <c r="H1640">
        <v>-18000</v>
      </c>
      <c r="I1640">
        <v>-18000</v>
      </c>
    </row>
    <row r="1641" spans="1:9" x14ac:dyDescent="0.3">
      <c r="A1641" s="48" t="s">
        <v>44</v>
      </c>
      <c r="C1641">
        <v>-11000</v>
      </c>
      <c r="D1641">
        <v>8000</v>
      </c>
      <c r="E1641">
        <v>5000</v>
      </c>
      <c r="F1641">
        <v>3000</v>
      </c>
      <c r="G1641">
        <v>-19000</v>
      </c>
      <c r="H1641">
        <v>-19000</v>
      </c>
      <c r="I1641">
        <v>-19000</v>
      </c>
    </row>
    <row r="1642" spans="1:9" x14ac:dyDescent="0.3">
      <c r="A1642" s="48" t="s">
        <v>54</v>
      </c>
      <c r="C1642">
        <v>-10000</v>
      </c>
      <c r="D1642">
        <v>7000</v>
      </c>
      <c r="E1642">
        <v>4000</v>
      </c>
      <c r="F1642">
        <v>2000</v>
      </c>
      <c r="G1642">
        <v>-20000</v>
      </c>
      <c r="H1642">
        <v>-20000</v>
      </c>
      <c r="I1642">
        <v>-20000</v>
      </c>
    </row>
    <row r="1643" spans="1:9" x14ac:dyDescent="0.3">
      <c r="A1643" s="48" t="s">
        <v>55</v>
      </c>
      <c r="C1643">
        <v>-9000</v>
      </c>
      <c r="D1643">
        <v>6000</v>
      </c>
      <c r="E1643">
        <v>3000</v>
      </c>
      <c r="F1643">
        <v>1000</v>
      </c>
      <c r="G1643">
        <v>-21000</v>
      </c>
      <c r="H1643">
        <v>-21000</v>
      </c>
      <c r="I1643">
        <v>-21000</v>
      </c>
    </row>
    <row r="1644" spans="1:9" x14ac:dyDescent="0.3">
      <c r="A1644" s="48" t="s">
        <v>56</v>
      </c>
      <c r="C1644">
        <v>-8000</v>
      </c>
      <c r="D1644">
        <v>5000</v>
      </c>
      <c r="E1644">
        <v>2000</v>
      </c>
      <c r="F1644">
        <v>0</v>
      </c>
      <c r="G1644">
        <v>-22000</v>
      </c>
      <c r="H1644">
        <v>-22000</v>
      </c>
      <c r="I1644">
        <v>-22000</v>
      </c>
    </row>
    <row r="1645" spans="1:9" x14ac:dyDescent="0.3">
      <c r="A1645" s="48" t="s">
        <v>57</v>
      </c>
      <c r="C1645">
        <v>-7000</v>
      </c>
      <c r="D1645">
        <v>4000</v>
      </c>
      <c r="E1645">
        <v>1000</v>
      </c>
      <c r="F1645">
        <v>-1000</v>
      </c>
      <c r="G1645">
        <v>-23000</v>
      </c>
      <c r="H1645">
        <v>-23000</v>
      </c>
      <c r="I1645">
        <v>-23000</v>
      </c>
    </row>
    <row r="1646" spans="1:9" x14ac:dyDescent="0.3">
      <c r="A1646" s="48" t="s">
        <v>58</v>
      </c>
      <c r="C1646">
        <v>-6000</v>
      </c>
      <c r="D1646">
        <v>3000</v>
      </c>
      <c r="E1646">
        <v>0</v>
      </c>
      <c r="F1646">
        <v>-2000</v>
      </c>
      <c r="G1646">
        <v>-24000</v>
      </c>
      <c r="H1646">
        <v>-24000</v>
      </c>
      <c r="I1646">
        <v>-24000</v>
      </c>
    </row>
    <row r="1647" spans="1:9" x14ac:dyDescent="0.3">
      <c r="A1647" s="13" t="s">
        <v>39</v>
      </c>
    </row>
    <row r="1648" spans="1:9" x14ac:dyDescent="0.3">
      <c r="A1648" s="14" t="s">
        <v>33</v>
      </c>
    </row>
    <row r="1649" spans="1:9" x14ac:dyDescent="0.3">
      <c r="A1649" s="15" t="s">
        <v>34</v>
      </c>
    </row>
    <row r="1650" spans="1:9" x14ac:dyDescent="0.3">
      <c r="A1650" s="48" t="s">
        <v>35</v>
      </c>
      <c r="C1650">
        <v>-3000</v>
      </c>
      <c r="D1650">
        <v>-3000</v>
      </c>
      <c r="E1650">
        <v>-3000</v>
      </c>
      <c r="F1650">
        <v>30000</v>
      </c>
      <c r="G1650">
        <v>-3000</v>
      </c>
      <c r="H1650">
        <v>-3000</v>
      </c>
      <c r="I1650">
        <v>-3000</v>
      </c>
    </row>
    <row r="1651" spans="1:9" x14ac:dyDescent="0.3">
      <c r="A1651" s="48" t="s">
        <v>41</v>
      </c>
      <c r="C1651">
        <v>-2000</v>
      </c>
      <c r="D1651">
        <v>-4000</v>
      </c>
      <c r="E1651">
        <v>-4000</v>
      </c>
      <c r="F1651">
        <v>29000</v>
      </c>
      <c r="G1651">
        <v>-4000</v>
      </c>
      <c r="H1651">
        <v>-4000</v>
      </c>
      <c r="I1651">
        <v>-4000</v>
      </c>
    </row>
    <row r="1652" spans="1:9" x14ac:dyDescent="0.3">
      <c r="A1652" s="48" t="s">
        <v>42</v>
      </c>
      <c r="C1652">
        <v>-1000</v>
      </c>
      <c r="D1652">
        <v>-5000</v>
      </c>
      <c r="E1652">
        <v>-5000</v>
      </c>
      <c r="F1652">
        <v>28000</v>
      </c>
      <c r="G1652">
        <v>-5000</v>
      </c>
      <c r="H1652">
        <v>-5000</v>
      </c>
      <c r="I1652">
        <v>-5000</v>
      </c>
    </row>
    <row r="1653" spans="1:9" x14ac:dyDescent="0.3">
      <c r="A1653" s="48" t="s">
        <v>43</v>
      </c>
      <c r="C1653">
        <v>0</v>
      </c>
      <c r="D1653">
        <v>-6000</v>
      </c>
      <c r="E1653">
        <v>-6000</v>
      </c>
      <c r="F1653">
        <v>27000</v>
      </c>
      <c r="G1653">
        <v>-6000</v>
      </c>
      <c r="H1653">
        <v>-6000</v>
      </c>
      <c r="I1653">
        <v>-6000</v>
      </c>
    </row>
    <row r="1654" spans="1:9" x14ac:dyDescent="0.3">
      <c r="A1654" s="48" t="s">
        <v>44</v>
      </c>
      <c r="C1654">
        <v>1000</v>
      </c>
      <c r="D1654">
        <v>-7000</v>
      </c>
      <c r="E1654">
        <v>-7000</v>
      </c>
      <c r="F1654">
        <v>26000</v>
      </c>
      <c r="G1654">
        <v>-7000</v>
      </c>
      <c r="H1654">
        <v>-7000</v>
      </c>
      <c r="I1654">
        <v>-7000</v>
      </c>
    </row>
    <row r="1655" spans="1:9" x14ac:dyDescent="0.3">
      <c r="A1655" s="48" t="s">
        <v>54</v>
      </c>
      <c r="C1655">
        <v>2000</v>
      </c>
      <c r="D1655">
        <v>-8000</v>
      </c>
      <c r="E1655">
        <v>-8000</v>
      </c>
      <c r="F1655">
        <v>25000</v>
      </c>
      <c r="G1655">
        <v>-8000</v>
      </c>
      <c r="H1655">
        <v>-8000</v>
      </c>
      <c r="I1655">
        <v>-8000</v>
      </c>
    </row>
    <row r="1656" spans="1:9" x14ac:dyDescent="0.3">
      <c r="A1656" s="48" t="s">
        <v>55</v>
      </c>
      <c r="C1656">
        <v>3000</v>
      </c>
      <c r="D1656">
        <v>-9000</v>
      </c>
      <c r="E1656">
        <v>-9000</v>
      </c>
      <c r="F1656">
        <v>24000</v>
      </c>
      <c r="G1656">
        <v>-9000</v>
      </c>
      <c r="H1656">
        <v>-9000</v>
      </c>
      <c r="I1656">
        <v>-9000</v>
      </c>
    </row>
    <row r="1657" spans="1:9" x14ac:dyDescent="0.3">
      <c r="A1657" s="48" t="s">
        <v>56</v>
      </c>
      <c r="C1657">
        <v>4000</v>
      </c>
      <c r="D1657">
        <v>-10000</v>
      </c>
      <c r="E1657">
        <v>-10000</v>
      </c>
      <c r="F1657">
        <v>23000</v>
      </c>
      <c r="G1657">
        <v>-10000</v>
      </c>
      <c r="H1657">
        <v>-10000</v>
      </c>
      <c r="I1657">
        <v>-10000</v>
      </c>
    </row>
    <row r="1658" spans="1:9" x14ac:dyDescent="0.3">
      <c r="A1658" s="48" t="s">
        <v>57</v>
      </c>
      <c r="C1658">
        <v>5000</v>
      </c>
      <c r="D1658">
        <v>-11000</v>
      </c>
      <c r="E1658">
        <v>-11000</v>
      </c>
      <c r="F1658">
        <v>22000</v>
      </c>
      <c r="G1658">
        <v>-11000</v>
      </c>
      <c r="H1658">
        <v>-11000</v>
      </c>
      <c r="I1658">
        <v>-11000</v>
      </c>
    </row>
    <row r="1659" spans="1:9" x14ac:dyDescent="0.3">
      <c r="A1659" s="48" t="s">
        <v>58</v>
      </c>
      <c r="C1659">
        <v>6000</v>
      </c>
      <c r="D1659">
        <v>-12000</v>
      </c>
      <c r="E1659">
        <v>-12000</v>
      </c>
      <c r="F1659">
        <v>21000</v>
      </c>
      <c r="G1659">
        <v>-12000</v>
      </c>
      <c r="H1659">
        <v>-12000</v>
      </c>
      <c r="I1659">
        <v>-12000</v>
      </c>
    </row>
    <row r="1660" spans="1:9" x14ac:dyDescent="0.3">
      <c r="A1660" s="15" t="s">
        <v>45</v>
      </c>
    </row>
    <row r="1661" spans="1:9" x14ac:dyDescent="0.3">
      <c r="A1661" s="48" t="s">
        <v>35</v>
      </c>
      <c r="C1661">
        <v>-4000</v>
      </c>
      <c r="D1661">
        <v>-1000</v>
      </c>
      <c r="E1661">
        <v>-4000</v>
      </c>
      <c r="F1661">
        <v>29000</v>
      </c>
      <c r="G1661">
        <v>-4000</v>
      </c>
      <c r="H1661">
        <v>-4000</v>
      </c>
      <c r="I1661">
        <v>-4000</v>
      </c>
    </row>
    <row r="1662" spans="1:9" x14ac:dyDescent="0.3">
      <c r="A1662" s="48" t="s">
        <v>41</v>
      </c>
      <c r="C1662">
        <v>-3000</v>
      </c>
      <c r="D1662">
        <v>-2000</v>
      </c>
      <c r="E1662">
        <v>-5000</v>
      </c>
      <c r="F1662">
        <v>28000</v>
      </c>
      <c r="G1662">
        <v>-5000</v>
      </c>
      <c r="H1662">
        <v>-5000</v>
      </c>
      <c r="I1662">
        <v>-5000</v>
      </c>
    </row>
    <row r="1663" spans="1:9" x14ac:dyDescent="0.3">
      <c r="A1663" s="48" t="s">
        <v>42</v>
      </c>
      <c r="C1663">
        <v>-2000</v>
      </c>
      <c r="D1663">
        <v>-3000</v>
      </c>
      <c r="E1663">
        <v>-6000</v>
      </c>
      <c r="F1663">
        <v>27000</v>
      </c>
      <c r="G1663">
        <v>-6000</v>
      </c>
      <c r="H1663">
        <v>-6000</v>
      </c>
      <c r="I1663">
        <v>-6000</v>
      </c>
    </row>
    <row r="1664" spans="1:9" x14ac:dyDescent="0.3">
      <c r="A1664" s="48" t="s">
        <v>43</v>
      </c>
      <c r="C1664">
        <v>-1000</v>
      </c>
      <c r="D1664">
        <v>-4000</v>
      </c>
      <c r="E1664">
        <v>-7000</v>
      </c>
      <c r="F1664">
        <v>26000</v>
      </c>
      <c r="G1664">
        <v>-7000</v>
      </c>
      <c r="H1664">
        <v>-7000</v>
      </c>
      <c r="I1664">
        <v>-7000</v>
      </c>
    </row>
    <row r="1665" spans="1:9" x14ac:dyDescent="0.3">
      <c r="A1665" s="48" t="s">
        <v>44</v>
      </c>
      <c r="C1665">
        <v>0</v>
      </c>
      <c r="D1665">
        <v>-5000</v>
      </c>
      <c r="E1665">
        <v>-8000</v>
      </c>
      <c r="F1665">
        <v>25000</v>
      </c>
      <c r="G1665">
        <v>-8000</v>
      </c>
      <c r="H1665">
        <v>-8000</v>
      </c>
      <c r="I1665">
        <v>-8000</v>
      </c>
    </row>
    <row r="1666" spans="1:9" x14ac:dyDescent="0.3">
      <c r="A1666" s="48" t="s">
        <v>54</v>
      </c>
      <c r="C1666">
        <v>1000</v>
      </c>
      <c r="D1666">
        <v>-6000</v>
      </c>
      <c r="E1666">
        <v>-9000</v>
      </c>
      <c r="F1666">
        <v>24000</v>
      </c>
      <c r="G1666">
        <v>-9000</v>
      </c>
      <c r="H1666">
        <v>-9000</v>
      </c>
      <c r="I1666">
        <v>-9000</v>
      </c>
    </row>
    <row r="1667" spans="1:9" x14ac:dyDescent="0.3">
      <c r="A1667" s="48" t="s">
        <v>55</v>
      </c>
      <c r="C1667">
        <v>2000</v>
      </c>
      <c r="D1667">
        <v>-7000</v>
      </c>
      <c r="E1667">
        <v>-10000</v>
      </c>
      <c r="F1667">
        <v>23000</v>
      </c>
      <c r="G1667">
        <v>-10000</v>
      </c>
      <c r="H1667">
        <v>-10000</v>
      </c>
      <c r="I1667">
        <v>-10000</v>
      </c>
    </row>
    <row r="1668" spans="1:9" x14ac:dyDescent="0.3">
      <c r="A1668" s="48" t="s">
        <v>56</v>
      </c>
      <c r="C1668">
        <v>3000</v>
      </c>
      <c r="D1668">
        <v>-8000</v>
      </c>
      <c r="E1668">
        <v>-11000</v>
      </c>
      <c r="F1668">
        <v>22000</v>
      </c>
      <c r="G1668">
        <v>-11000</v>
      </c>
      <c r="H1668">
        <v>-11000</v>
      </c>
      <c r="I1668">
        <v>-11000</v>
      </c>
    </row>
    <row r="1669" spans="1:9" x14ac:dyDescent="0.3">
      <c r="A1669" s="48" t="s">
        <v>57</v>
      </c>
      <c r="C1669">
        <v>4000</v>
      </c>
      <c r="D1669">
        <v>-9000</v>
      </c>
      <c r="E1669">
        <v>-12000</v>
      </c>
      <c r="F1669">
        <v>21000</v>
      </c>
      <c r="G1669">
        <v>-12000</v>
      </c>
      <c r="H1669">
        <v>-12000</v>
      </c>
      <c r="I1669">
        <v>-12000</v>
      </c>
    </row>
    <row r="1670" spans="1:9" x14ac:dyDescent="0.3">
      <c r="A1670" s="48" t="s">
        <v>58</v>
      </c>
      <c r="C1670">
        <v>5000</v>
      </c>
      <c r="D1670">
        <v>-10000</v>
      </c>
      <c r="E1670">
        <v>-13000</v>
      </c>
      <c r="F1670">
        <v>20000</v>
      </c>
      <c r="G1670">
        <v>-13000</v>
      </c>
      <c r="H1670">
        <v>-13000</v>
      </c>
      <c r="I1670">
        <v>-13000</v>
      </c>
    </row>
    <row r="1671" spans="1:9" x14ac:dyDescent="0.3">
      <c r="A1671" s="15" t="s">
        <v>46</v>
      </c>
    </row>
    <row r="1672" spans="1:9" x14ac:dyDescent="0.3">
      <c r="A1672" s="48" t="s">
        <v>35</v>
      </c>
      <c r="C1672">
        <v>-5000</v>
      </c>
      <c r="D1672">
        <v>1000</v>
      </c>
      <c r="E1672">
        <v>-5000</v>
      </c>
      <c r="F1672">
        <v>28000</v>
      </c>
      <c r="G1672">
        <v>-5000</v>
      </c>
      <c r="H1672">
        <v>-5000</v>
      </c>
      <c r="I1672">
        <v>-5000</v>
      </c>
    </row>
    <row r="1673" spans="1:9" x14ac:dyDescent="0.3">
      <c r="A1673" s="48" t="s">
        <v>41</v>
      </c>
      <c r="C1673">
        <v>-4000</v>
      </c>
      <c r="D1673">
        <v>0</v>
      </c>
      <c r="E1673">
        <v>-6000</v>
      </c>
      <c r="F1673">
        <v>27000</v>
      </c>
      <c r="G1673">
        <v>-6000</v>
      </c>
      <c r="H1673">
        <v>-6000</v>
      </c>
      <c r="I1673">
        <v>-6000</v>
      </c>
    </row>
    <row r="1674" spans="1:9" x14ac:dyDescent="0.3">
      <c r="A1674" s="48" t="s">
        <v>42</v>
      </c>
      <c r="C1674">
        <v>-3000</v>
      </c>
      <c r="D1674">
        <v>-1000</v>
      </c>
      <c r="E1674">
        <v>-7000</v>
      </c>
      <c r="F1674">
        <v>26000</v>
      </c>
      <c r="G1674">
        <v>-7000</v>
      </c>
      <c r="H1674">
        <v>-7000</v>
      </c>
      <c r="I1674">
        <v>-7000</v>
      </c>
    </row>
    <row r="1675" spans="1:9" x14ac:dyDescent="0.3">
      <c r="A1675" s="48" t="s">
        <v>43</v>
      </c>
      <c r="C1675">
        <v>-2000</v>
      </c>
      <c r="D1675">
        <v>-2000</v>
      </c>
      <c r="E1675">
        <v>-8000</v>
      </c>
      <c r="F1675">
        <v>25000</v>
      </c>
      <c r="G1675">
        <v>-8000</v>
      </c>
      <c r="H1675">
        <v>-8000</v>
      </c>
      <c r="I1675">
        <v>-8000</v>
      </c>
    </row>
    <row r="1676" spans="1:9" x14ac:dyDescent="0.3">
      <c r="A1676" s="48" t="s">
        <v>44</v>
      </c>
      <c r="C1676">
        <v>-1000</v>
      </c>
      <c r="D1676">
        <v>-3000</v>
      </c>
      <c r="E1676">
        <v>-9000</v>
      </c>
      <c r="F1676">
        <v>24000</v>
      </c>
      <c r="G1676">
        <v>-9000</v>
      </c>
      <c r="H1676">
        <v>-9000</v>
      </c>
      <c r="I1676">
        <v>-9000</v>
      </c>
    </row>
    <row r="1677" spans="1:9" x14ac:dyDescent="0.3">
      <c r="A1677" s="48" t="s">
        <v>54</v>
      </c>
      <c r="C1677">
        <v>0</v>
      </c>
      <c r="D1677">
        <v>-4000</v>
      </c>
      <c r="E1677">
        <v>-10000</v>
      </c>
      <c r="F1677">
        <v>23000</v>
      </c>
      <c r="G1677">
        <v>-10000</v>
      </c>
      <c r="H1677">
        <v>-10000</v>
      </c>
      <c r="I1677">
        <v>-10000</v>
      </c>
    </row>
    <row r="1678" spans="1:9" x14ac:dyDescent="0.3">
      <c r="A1678" s="48" t="s">
        <v>55</v>
      </c>
      <c r="C1678">
        <v>1000</v>
      </c>
      <c r="D1678">
        <v>-5000</v>
      </c>
      <c r="E1678">
        <v>-11000</v>
      </c>
      <c r="F1678">
        <v>22000</v>
      </c>
      <c r="G1678">
        <v>-11000</v>
      </c>
      <c r="H1678">
        <v>-11000</v>
      </c>
      <c r="I1678">
        <v>-11000</v>
      </c>
    </row>
    <row r="1679" spans="1:9" x14ac:dyDescent="0.3">
      <c r="A1679" s="48" t="s">
        <v>56</v>
      </c>
      <c r="C1679">
        <v>2000</v>
      </c>
      <c r="D1679">
        <v>-6000</v>
      </c>
      <c r="E1679">
        <v>-12000</v>
      </c>
      <c r="F1679">
        <v>21000</v>
      </c>
      <c r="G1679">
        <v>-12000</v>
      </c>
      <c r="H1679">
        <v>-12000</v>
      </c>
      <c r="I1679">
        <v>-12000</v>
      </c>
    </row>
    <row r="1680" spans="1:9" x14ac:dyDescent="0.3">
      <c r="A1680" s="48" t="s">
        <v>57</v>
      </c>
      <c r="C1680">
        <v>3000</v>
      </c>
      <c r="D1680">
        <v>-7000</v>
      </c>
      <c r="E1680">
        <v>-13000</v>
      </c>
      <c r="F1680">
        <v>20000</v>
      </c>
      <c r="G1680">
        <v>-13000</v>
      </c>
      <c r="H1680">
        <v>-13000</v>
      </c>
      <c r="I1680">
        <v>-13000</v>
      </c>
    </row>
    <row r="1681" spans="1:9" x14ac:dyDescent="0.3">
      <c r="A1681" s="48" t="s">
        <v>58</v>
      </c>
      <c r="C1681">
        <v>4000</v>
      </c>
      <c r="D1681">
        <v>-8000</v>
      </c>
      <c r="E1681">
        <v>-14000</v>
      </c>
      <c r="F1681">
        <v>19000</v>
      </c>
      <c r="G1681">
        <v>-14000</v>
      </c>
      <c r="H1681">
        <v>-14000</v>
      </c>
      <c r="I1681">
        <v>-14000</v>
      </c>
    </row>
    <row r="1682" spans="1:9" x14ac:dyDescent="0.3">
      <c r="A1682" s="15" t="s">
        <v>47</v>
      </c>
    </row>
    <row r="1683" spans="1:9" x14ac:dyDescent="0.3">
      <c r="A1683" s="48" t="s">
        <v>35</v>
      </c>
      <c r="C1683">
        <v>-6000</v>
      </c>
      <c r="D1683">
        <v>3000</v>
      </c>
      <c r="E1683">
        <v>-6000</v>
      </c>
      <c r="F1683">
        <v>27000</v>
      </c>
      <c r="G1683">
        <v>-6000</v>
      </c>
      <c r="H1683">
        <v>-6000</v>
      </c>
      <c r="I1683">
        <v>-6000</v>
      </c>
    </row>
    <row r="1684" spans="1:9" x14ac:dyDescent="0.3">
      <c r="A1684" s="48" t="s">
        <v>41</v>
      </c>
      <c r="C1684">
        <v>-5000</v>
      </c>
      <c r="D1684">
        <v>2000</v>
      </c>
      <c r="E1684">
        <v>-7000</v>
      </c>
      <c r="F1684">
        <v>26000</v>
      </c>
      <c r="G1684">
        <v>-7000</v>
      </c>
      <c r="H1684">
        <v>-7000</v>
      </c>
      <c r="I1684">
        <v>-7000</v>
      </c>
    </row>
    <row r="1685" spans="1:9" x14ac:dyDescent="0.3">
      <c r="A1685" s="48" t="s">
        <v>42</v>
      </c>
      <c r="C1685">
        <v>-4000</v>
      </c>
      <c r="D1685">
        <v>1000</v>
      </c>
      <c r="E1685">
        <v>-8000</v>
      </c>
      <c r="F1685">
        <v>25000</v>
      </c>
      <c r="G1685">
        <v>-8000</v>
      </c>
      <c r="H1685">
        <v>-8000</v>
      </c>
      <c r="I1685">
        <v>-8000</v>
      </c>
    </row>
    <row r="1686" spans="1:9" x14ac:dyDescent="0.3">
      <c r="A1686" s="48" t="s">
        <v>43</v>
      </c>
      <c r="C1686">
        <v>-3000</v>
      </c>
      <c r="D1686">
        <v>0</v>
      </c>
      <c r="E1686">
        <v>-9000</v>
      </c>
      <c r="F1686">
        <v>24000</v>
      </c>
      <c r="G1686">
        <v>-9000</v>
      </c>
      <c r="H1686">
        <v>-9000</v>
      </c>
      <c r="I1686">
        <v>-9000</v>
      </c>
    </row>
    <row r="1687" spans="1:9" x14ac:dyDescent="0.3">
      <c r="A1687" s="48" t="s">
        <v>44</v>
      </c>
      <c r="C1687">
        <v>-2000</v>
      </c>
      <c r="D1687">
        <v>-1000</v>
      </c>
      <c r="E1687">
        <v>-10000</v>
      </c>
      <c r="F1687">
        <v>23000</v>
      </c>
      <c r="G1687">
        <v>-10000</v>
      </c>
      <c r="H1687">
        <v>-10000</v>
      </c>
      <c r="I1687">
        <v>-10000</v>
      </c>
    </row>
    <row r="1688" spans="1:9" x14ac:dyDescent="0.3">
      <c r="A1688" s="48" t="s">
        <v>54</v>
      </c>
      <c r="C1688">
        <v>-1000</v>
      </c>
      <c r="D1688">
        <v>-2000</v>
      </c>
      <c r="E1688">
        <v>-11000</v>
      </c>
      <c r="F1688">
        <v>22000</v>
      </c>
      <c r="G1688">
        <v>-11000</v>
      </c>
      <c r="H1688">
        <v>-11000</v>
      </c>
      <c r="I1688">
        <v>-11000</v>
      </c>
    </row>
    <row r="1689" spans="1:9" x14ac:dyDescent="0.3">
      <c r="A1689" s="48" t="s">
        <v>55</v>
      </c>
      <c r="C1689">
        <v>0</v>
      </c>
      <c r="D1689">
        <v>-3000</v>
      </c>
      <c r="E1689">
        <v>-12000</v>
      </c>
      <c r="F1689">
        <v>21000</v>
      </c>
      <c r="G1689">
        <v>-12000</v>
      </c>
      <c r="H1689">
        <v>-12000</v>
      </c>
      <c r="I1689">
        <v>-12000</v>
      </c>
    </row>
    <row r="1690" spans="1:9" x14ac:dyDescent="0.3">
      <c r="A1690" s="48" t="s">
        <v>56</v>
      </c>
      <c r="C1690">
        <v>1000</v>
      </c>
      <c r="D1690">
        <v>-4000</v>
      </c>
      <c r="E1690">
        <v>-13000</v>
      </c>
      <c r="F1690">
        <v>20000</v>
      </c>
      <c r="G1690">
        <v>-13000</v>
      </c>
      <c r="H1690">
        <v>-13000</v>
      </c>
      <c r="I1690">
        <v>-13000</v>
      </c>
    </row>
    <row r="1691" spans="1:9" x14ac:dyDescent="0.3">
      <c r="A1691" s="48" t="s">
        <v>57</v>
      </c>
      <c r="C1691">
        <v>2000</v>
      </c>
      <c r="D1691">
        <v>-5000</v>
      </c>
      <c r="E1691">
        <v>-14000</v>
      </c>
      <c r="F1691">
        <v>19000</v>
      </c>
      <c r="G1691">
        <v>-14000</v>
      </c>
      <c r="H1691">
        <v>-14000</v>
      </c>
      <c r="I1691">
        <v>-14000</v>
      </c>
    </row>
    <row r="1692" spans="1:9" x14ac:dyDescent="0.3">
      <c r="A1692" s="48" t="s">
        <v>58</v>
      </c>
      <c r="C1692">
        <v>3000</v>
      </c>
      <c r="D1692">
        <v>-6000</v>
      </c>
      <c r="E1692">
        <v>-15000</v>
      </c>
      <c r="F1692">
        <v>18000</v>
      </c>
      <c r="G1692">
        <v>-15000</v>
      </c>
      <c r="H1692">
        <v>-15000</v>
      </c>
      <c r="I1692">
        <v>-15000</v>
      </c>
    </row>
    <row r="1693" spans="1:9" x14ac:dyDescent="0.3">
      <c r="A1693" s="15" t="s">
        <v>48</v>
      </c>
    </row>
    <row r="1694" spans="1:9" x14ac:dyDescent="0.3">
      <c r="A1694" s="48" t="s">
        <v>35</v>
      </c>
      <c r="C1694">
        <v>-7000</v>
      </c>
      <c r="D1694">
        <v>5000</v>
      </c>
      <c r="E1694">
        <v>-7000</v>
      </c>
      <c r="F1694">
        <v>26000</v>
      </c>
      <c r="G1694">
        <v>-7000</v>
      </c>
      <c r="H1694">
        <v>-7000</v>
      </c>
      <c r="I1694">
        <v>-7000</v>
      </c>
    </row>
    <row r="1695" spans="1:9" x14ac:dyDescent="0.3">
      <c r="A1695" s="48" t="s">
        <v>41</v>
      </c>
      <c r="C1695">
        <v>-6000</v>
      </c>
      <c r="D1695">
        <v>4000</v>
      </c>
      <c r="E1695">
        <v>-8000</v>
      </c>
      <c r="F1695">
        <v>25000</v>
      </c>
      <c r="G1695">
        <v>-8000</v>
      </c>
      <c r="H1695">
        <v>-8000</v>
      </c>
      <c r="I1695">
        <v>-8000</v>
      </c>
    </row>
    <row r="1696" spans="1:9" x14ac:dyDescent="0.3">
      <c r="A1696" s="48" t="s">
        <v>42</v>
      </c>
      <c r="C1696">
        <v>-5000</v>
      </c>
      <c r="D1696">
        <v>3000</v>
      </c>
      <c r="E1696">
        <v>-9000</v>
      </c>
      <c r="F1696">
        <v>24000</v>
      </c>
      <c r="G1696">
        <v>-9000</v>
      </c>
      <c r="H1696">
        <v>-9000</v>
      </c>
      <c r="I1696">
        <v>-9000</v>
      </c>
    </row>
    <row r="1697" spans="1:9" x14ac:dyDescent="0.3">
      <c r="A1697" s="48" t="s">
        <v>43</v>
      </c>
      <c r="C1697">
        <v>-4000</v>
      </c>
      <c r="D1697">
        <v>2000</v>
      </c>
      <c r="E1697">
        <v>-10000</v>
      </c>
      <c r="F1697">
        <v>23000</v>
      </c>
      <c r="G1697">
        <v>-10000</v>
      </c>
      <c r="H1697">
        <v>-10000</v>
      </c>
      <c r="I1697">
        <v>-10000</v>
      </c>
    </row>
    <row r="1698" spans="1:9" x14ac:dyDescent="0.3">
      <c r="A1698" s="48" t="s">
        <v>44</v>
      </c>
      <c r="C1698">
        <v>-3000</v>
      </c>
      <c r="D1698">
        <v>1000</v>
      </c>
      <c r="E1698">
        <v>-11000</v>
      </c>
      <c r="F1698">
        <v>22000</v>
      </c>
      <c r="G1698">
        <v>-11000</v>
      </c>
      <c r="H1698">
        <v>-11000</v>
      </c>
      <c r="I1698">
        <v>-11000</v>
      </c>
    </row>
    <row r="1699" spans="1:9" x14ac:dyDescent="0.3">
      <c r="A1699" s="48" t="s">
        <v>54</v>
      </c>
      <c r="C1699">
        <v>-2000</v>
      </c>
      <c r="D1699">
        <v>0</v>
      </c>
      <c r="E1699">
        <v>-12000</v>
      </c>
      <c r="F1699">
        <v>21000</v>
      </c>
      <c r="G1699">
        <v>-12000</v>
      </c>
      <c r="H1699">
        <v>-12000</v>
      </c>
      <c r="I1699">
        <v>-12000</v>
      </c>
    </row>
    <row r="1700" spans="1:9" x14ac:dyDescent="0.3">
      <c r="A1700" s="48" t="s">
        <v>55</v>
      </c>
      <c r="C1700">
        <v>-1000</v>
      </c>
      <c r="D1700">
        <v>-1000</v>
      </c>
      <c r="E1700">
        <v>-13000</v>
      </c>
      <c r="F1700">
        <v>20000</v>
      </c>
      <c r="G1700">
        <v>-13000</v>
      </c>
      <c r="H1700">
        <v>-13000</v>
      </c>
      <c r="I1700">
        <v>-13000</v>
      </c>
    </row>
    <row r="1701" spans="1:9" x14ac:dyDescent="0.3">
      <c r="A1701" s="48" t="s">
        <v>56</v>
      </c>
      <c r="C1701">
        <v>0</v>
      </c>
      <c r="D1701">
        <v>-2000</v>
      </c>
      <c r="E1701">
        <v>-14000</v>
      </c>
      <c r="F1701">
        <v>19000</v>
      </c>
      <c r="G1701">
        <v>-14000</v>
      </c>
      <c r="H1701">
        <v>-14000</v>
      </c>
      <c r="I1701">
        <v>-14000</v>
      </c>
    </row>
    <row r="1702" spans="1:9" x14ac:dyDescent="0.3">
      <c r="A1702" s="48" t="s">
        <v>57</v>
      </c>
      <c r="C1702">
        <v>1000</v>
      </c>
      <c r="D1702">
        <v>-3000</v>
      </c>
      <c r="E1702">
        <v>-15000</v>
      </c>
      <c r="F1702">
        <v>18000</v>
      </c>
      <c r="G1702">
        <v>-15000</v>
      </c>
      <c r="H1702">
        <v>-15000</v>
      </c>
      <c r="I1702">
        <v>-15000</v>
      </c>
    </row>
    <row r="1703" spans="1:9" x14ac:dyDescent="0.3">
      <c r="A1703" s="48" t="s">
        <v>58</v>
      </c>
      <c r="C1703">
        <v>2000</v>
      </c>
      <c r="D1703">
        <v>-4000</v>
      </c>
      <c r="E1703">
        <v>-16000</v>
      </c>
      <c r="F1703">
        <v>17000</v>
      </c>
      <c r="G1703">
        <v>-16000</v>
      </c>
      <c r="H1703">
        <v>-16000</v>
      </c>
      <c r="I1703">
        <v>-16000</v>
      </c>
    </row>
    <row r="1704" spans="1:9" x14ac:dyDescent="0.3">
      <c r="A1704" s="15" t="s">
        <v>59</v>
      </c>
    </row>
    <row r="1705" spans="1:9" x14ac:dyDescent="0.3">
      <c r="A1705" s="48" t="s">
        <v>35</v>
      </c>
      <c r="C1705">
        <v>-8000</v>
      </c>
      <c r="D1705">
        <v>7000</v>
      </c>
      <c r="E1705">
        <v>-8000</v>
      </c>
      <c r="F1705">
        <v>25000</v>
      </c>
      <c r="G1705">
        <v>-8000</v>
      </c>
      <c r="H1705">
        <v>-8000</v>
      </c>
      <c r="I1705">
        <v>-8000</v>
      </c>
    </row>
    <row r="1706" spans="1:9" x14ac:dyDescent="0.3">
      <c r="A1706" s="48" t="s">
        <v>41</v>
      </c>
      <c r="C1706">
        <v>-7000</v>
      </c>
      <c r="D1706">
        <v>6000</v>
      </c>
      <c r="E1706">
        <v>-9000</v>
      </c>
      <c r="F1706">
        <v>24000</v>
      </c>
      <c r="G1706">
        <v>-9000</v>
      </c>
      <c r="H1706">
        <v>-9000</v>
      </c>
      <c r="I1706">
        <v>-9000</v>
      </c>
    </row>
    <row r="1707" spans="1:9" x14ac:dyDescent="0.3">
      <c r="A1707" s="48" t="s">
        <v>42</v>
      </c>
      <c r="C1707">
        <v>-6000</v>
      </c>
      <c r="D1707">
        <v>5000</v>
      </c>
      <c r="E1707">
        <v>-10000</v>
      </c>
      <c r="F1707">
        <v>23000</v>
      </c>
      <c r="G1707">
        <v>-10000</v>
      </c>
      <c r="H1707">
        <v>-10000</v>
      </c>
      <c r="I1707">
        <v>-10000</v>
      </c>
    </row>
    <row r="1708" spans="1:9" x14ac:dyDescent="0.3">
      <c r="A1708" s="48" t="s">
        <v>43</v>
      </c>
      <c r="C1708">
        <v>-5000</v>
      </c>
      <c r="D1708">
        <v>4000</v>
      </c>
      <c r="E1708">
        <v>-11000</v>
      </c>
      <c r="F1708">
        <v>22000</v>
      </c>
      <c r="G1708">
        <v>-11000</v>
      </c>
      <c r="H1708">
        <v>-11000</v>
      </c>
      <c r="I1708">
        <v>-11000</v>
      </c>
    </row>
    <row r="1709" spans="1:9" x14ac:dyDescent="0.3">
      <c r="A1709" s="48" t="s">
        <v>44</v>
      </c>
      <c r="C1709">
        <v>-4000</v>
      </c>
      <c r="D1709">
        <v>3000</v>
      </c>
      <c r="E1709">
        <v>-12000</v>
      </c>
      <c r="F1709">
        <v>21000</v>
      </c>
      <c r="G1709">
        <v>-12000</v>
      </c>
      <c r="H1709">
        <v>-12000</v>
      </c>
      <c r="I1709">
        <v>-12000</v>
      </c>
    </row>
    <row r="1710" spans="1:9" x14ac:dyDescent="0.3">
      <c r="A1710" s="48" t="s">
        <v>54</v>
      </c>
      <c r="C1710">
        <v>-3000</v>
      </c>
      <c r="D1710">
        <v>2000</v>
      </c>
      <c r="E1710">
        <v>-13000</v>
      </c>
      <c r="F1710">
        <v>20000</v>
      </c>
      <c r="G1710">
        <v>-13000</v>
      </c>
      <c r="H1710">
        <v>-13000</v>
      </c>
      <c r="I1710">
        <v>-13000</v>
      </c>
    </row>
    <row r="1711" spans="1:9" x14ac:dyDescent="0.3">
      <c r="A1711" s="48" t="s">
        <v>55</v>
      </c>
      <c r="C1711">
        <v>-2000</v>
      </c>
      <c r="D1711">
        <v>1000</v>
      </c>
      <c r="E1711">
        <v>-14000</v>
      </c>
      <c r="F1711">
        <v>19000</v>
      </c>
      <c r="G1711">
        <v>-14000</v>
      </c>
      <c r="H1711">
        <v>-14000</v>
      </c>
      <c r="I1711">
        <v>-14000</v>
      </c>
    </row>
    <row r="1712" spans="1:9" x14ac:dyDescent="0.3">
      <c r="A1712" s="48" t="s">
        <v>56</v>
      </c>
      <c r="C1712">
        <v>-1000</v>
      </c>
      <c r="D1712">
        <v>0</v>
      </c>
      <c r="E1712">
        <v>-15000</v>
      </c>
      <c r="F1712">
        <v>18000</v>
      </c>
      <c r="G1712">
        <v>-15000</v>
      </c>
      <c r="H1712">
        <v>-15000</v>
      </c>
      <c r="I1712">
        <v>-15000</v>
      </c>
    </row>
    <row r="1713" spans="1:9" x14ac:dyDescent="0.3">
      <c r="A1713" s="48" t="s">
        <v>57</v>
      </c>
      <c r="C1713">
        <v>0</v>
      </c>
      <c r="D1713">
        <v>-1000</v>
      </c>
      <c r="E1713">
        <v>-16000</v>
      </c>
      <c r="F1713">
        <v>17000</v>
      </c>
      <c r="G1713">
        <v>-16000</v>
      </c>
      <c r="H1713">
        <v>-16000</v>
      </c>
      <c r="I1713">
        <v>-16000</v>
      </c>
    </row>
    <row r="1714" spans="1:9" x14ac:dyDescent="0.3">
      <c r="A1714" s="48" t="s">
        <v>58</v>
      </c>
      <c r="C1714">
        <v>1000</v>
      </c>
      <c r="D1714">
        <v>-2000</v>
      </c>
      <c r="E1714">
        <v>-17000</v>
      </c>
      <c r="F1714">
        <v>16000</v>
      </c>
      <c r="G1714">
        <v>-17000</v>
      </c>
      <c r="H1714">
        <v>-17000</v>
      </c>
      <c r="I1714">
        <v>-17000</v>
      </c>
    </row>
    <row r="1715" spans="1:9" x14ac:dyDescent="0.3">
      <c r="A1715" s="15" t="s">
        <v>60</v>
      </c>
    </row>
    <row r="1716" spans="1:9" x14ac:dyDescent="0.3">
      <c r="A1716" s="48" t="s">
        <v>35</v>
      </c>
      <c r="C1716">
        <v>-9000</v>
      </c>
      <c r="D1716">
        <v>9000</v>
      </c>
      <c r="E1716">
        <v>-9000</v>
      </c>
      <c r="F1716">
        <v>24000</v>
      </c>
      <c r="G1716">
        <v>-9000</v>
      </c>
      <c r="H1716">
        <v>-9000</v>
      </c>
      <c r="I1716">
        <v>-9000</v>
      </c>
    </row>
    <row r="1717" spans="1:9" x14ac:dyDescent="0.3">
      <c r="A1717" s="48" t="s">
        <v>41</v>
      </c>
      <c r="C1717">
        <v>-8000</v>
      </c>
      <c r="D1717">
        <v>8000</v>
      </c>
      <c r="E1717">
        <v>-10000</v>
      </c>
      <c r="F1717">
        <v>23000</v>
      </c>
      <c r="G1717">
        <v>-10000</v>
      </c>
      <c r="H1717">
        <v>-10000</v>
      </c>
      <c r="I1717">
        <v>-10000</v>
      </c>
    </row>
    <row r="1718" spans="1:9" x14ac:dyDescent="0.3">
      <c r="A1718" s="48" t="s">
        <v>42</v>
      </c>
      <c r="C1718">
        <v>-7000</v>
      </c>
      <c r="D1718">
        <v>7000</v>
      </c>
      <c r="E1718">
        <v>-11000</v>
      </c>
      <c r="F1718">
        <v>22000</v>
      </c>
      <c r="G1718">
        <v>-11000</v>
      </c>
      <c r="H1718">
        <v>-11000</v>
      </c>
      <c r="I1718">
        <v>-11000</v>
      </c>
    </row>
    <row r="1719" spans="1:9" x14ac:dyDescent="0.3">
      <c r="A1719" s="48" t="s">
        <v>43</v>
      </c>
      <c r="C1719">
        <v>-6000</v>
      </c>
      <c r="D1719">
        <v>6000</v>
      </c>
      <c r="E1719">
        <v>-12000</v>
      </c>
      <c r="F1719">
        <v>21000</v>
      </c>
      <c r="G1719">
        <v>-12000</v>
      </c>
      <c r="H1719">
        <v>-12000</v>
      </c>
      <c r="I1719">
        <v>-12000</v>
      </c>
    </row>
    <row r="1720" spans="1:9" x14ac:dyDescent="0.3">
      <c r="A1720" s="48" t="s">
        <v>44</v>
      </c>
      <c r="C1720">
        <v>-5000</v>
      </c>
      <c r="D1720">
        <v>5000</v>
      </c>
      <c r="E1720">
        <v>-13000</v>
      </c>
      <c r="F1720">
        <v>20000</v>
      </c>
      <c r="G1720">
        <v>-13000</v>
      </c>
      <c r="H1720">
        <v>-13000</v>
      </c>
      <c r="I1720">
        <v>-13000</v>
      </c>
    </row>
    <row r="1721" spans="1:9" x14ac:dyDescent="0.3">
      <c r="A1721" s="48" t="s">
        <v>54</v>
      </c>
      <c r="C1721">
        <v>-4000</v>
      </c>
      <c r="D1721">
        <v>4000</v>
      </c>
      <c r="E1721">
        <v>-14000</v>
      </c>
      <c r="F1721">
        <v>19000</v>
      </c>
      <c r="G1721">
        <v>-14000</v>
      </c>
      <c r="H1721">
        <v>-14000</v>
      </c>
      <c r="I1721">
        <v>-14000</v>
      </c>
    </row>
    <row r="1722" spans="1:9" x14ac:dyDescent="0.3">
      <c r="A1722" s="48" t="s">
        <v>55</v>
      </c>
      <c r="C1722">
        <v>-3000</v>
      </c>
      <c r="D1722">
        <v>3000</v>
      </c>
      <c r="E1722">
        <v>-15000</v>
      </c>
      <c r="F1722">
        <v>18000</v>
      </c>
      <c r="G1722">
        <v>-15000</v>
      </c>
      <c r="H1722">
        <v>-15000</v>
      </c>
      <c r="I1722">
        <v>-15000</v>
      </c>
    </row>
    <row r="1723" spans="1:9" x14ac:dyDescent="0.3">
      <c r="A1723" s="48" t="s">
        <v>56</v>
      </c>
      <c r="C1723">
        <v>-2000</v>
      </c>
      <c r="D1723">
        <v>2000</v>
      </c>
      <c r="E1723">
        <v>-16000</v>
      </c>
      <c r="F1723">
        <v>17000</v>
      </c>
      <c r="G1723">
        <v>-16000</v>
      </c>
      <c r="H1723">
        <v>-16000</v>
      </c>
      <c r="I1723">
        <v>-16000</v>
      </c>
    </row>
    <row r="1724" spans="1:9" x14ac:dyDescent="0.3">
      <c r="A1724" s="48" t="s">
        <v>57</v>
      </c>
      <c r="C1724">
        <v>-1000</v>
      </c>
      <c r="D1724">
        <v>1000</v>
      </c>
      <c r="E1724">
        <v>-17000</v>
      </c>
      <c r="F1724">
        <v>16000</v>
      </c>
      <c r="G1724">
        <v>-17000</v>
      </c>
      <c r="H1724">
        <v>-17000</v>
      </c>
      <c r="I1724">
        <v>-17000</v>
      </c>
    </row>
    <row r="1725" spans="1:9" x14ac:dyDescent="0.3">
      <c r="A1725" s="48" t="s">
        <v>58</v>
      </c>
      <c r="C1725">
        <v>0</v>
      </c>
      <c r="D1725">
        <v>0</v>
      </c>
      <c r="E1725">
        <v>-18000</v>
      </c>
      <c r="F1725">
        <v>15000</v>
      </c>
      <c r="G1725">
        <v>-18000</v>
      </c>
      <c r="H1725">
        <v>-18000</v>
      </c>
      <c r="I1725">
        <v>-18000</v>
      </c>
    </row>
    <row r="1726" spans="1:9" x14ac:dyDescent="0.3">
      <c r="A1726" s="15" t="s">
        <v>61</v>
      </c>
    </row>
    <row r="1727" spans="1:9" x14ac:dyDescent="0.3">
      <c r="A1727" s="48" t="s">
        <v>35</v>
      </c>
      <c r="C1727">
        <v>-10000</v>
      </c>
      <c r="D1727">
        <v>11000</v>
      </c>
      <c r="E1727">
        <v>-10000</v>
      </c>
      <c r="F1727">
        <v>23000</v>
      </c>
      <c r="G1727">
        <v>-10000</v>
      </c>
      <c r="H1727">
        <v>-10000</v>
      </c>
      <c r="I1727">
        <v>-10000</v>
      </c>
    </row>
    <row r="1728" spans="1:9" x14ac:dyDescent="0.3">
      <c r="A1728" s="48" t="s">
        <v>41</v>
      </c>
      <c r="C1728">
        <v>-9000</v>
      </c>
      <c r="D1728">
        <v>10000</v>
      </c>
      <c r="E1728">
        <v>-11000</v>
      </c>
      <c r="F1728">
        <v>22000</v>
      </c>
      <c r="G1728">
        <v>-11000</v>
      </c>
      <c r="H1728">
        <v>-11000</v>
      </c>
      <c r="I1728">
        <v>-11000</v>
      </c>
    </row>
    <row r="1729" spans="1:9" x14ac:dyDescent="0.3">
      <c r="A1729" s="48" t="s">
        <v>42</v>
      </c>
      <c r="C1729">
        <v>-8000</v>
      </c>
      <c r="D1729">
        <v>9000</v>
      </c>
      <c r="E1729">
        <v>-12000</v>
      </c>
      <c r="F1729">
        <v>21000</v>
      </c>
      <c r="G1729">
        <v>-12000</v>
      </c>
      <c r="H1729">
        <v>-12000</v>
      </c>
      <c r="I1729">
        <v>-12000</v>
      </c>
    </row>
    <row r="1730" spans="1:9" x14ac:dyDescent="0.3">
      <c r="A1730" s="48" t="s">
        <v>43</v>
      </c>
      <c r="C1730">
        <v>-7000</v>
      </c>
      <c r="D1730">
        <v>8000</v>
      </c>
      <c r="E1730">
        <v>-13000</v>
      </c>
      <c r="F1730">
        <v>20000</v>
      </c>
      <c r="G1730">
        <v>-13000</v>
      </c>
      <c r="H1730">
        <v>-13000</v>
      </c>
      <c r="I1730">
        <v>-13000</v>
      </c>
    </row>
    <row r="1731" spans="1:9" x14ac:dyDescent="0.3">
      <c r="A1731" s="48" t="s">
        <v>44</v>
      </c>
      <c r="C1731">
        <v>-6000</v>
      </c>
      <c r="D1731">
        <v>7000</v>
      </c>
      <c r="E1731">
        <v>-14000</v>
      </c>
      <c r="F1731">
        <v>19000</v>
      </c>
      <c r="G1731">
        <v>-14000</v>
      </c>
      <c r="H1731">
        <v>-14000</v>
      </c>
      <c r="I1731">
        <v>-14000</v>
      </c>
    </row>
    <row r="1732" spans="1:9" x14ac:dyDescent="0.3">
      <c r="A1732" s="48" t="s">
        <v>54</v>
      </c>
      <c r="C1732">
        <v>-5000</v>
      </c>
      <c r="D1732">
        <v>6000</v>
      </c>
      <c r="E1732">
        <v>-15000</v>
      </c>
      <c r="F1732">
        <v>18000</v>
      </c>
      <c r="G1732">
        <v>-15000</v>
      </c>
      <c r="H1732">
        <v>-15000</v>
      </c>
      <c r="I1732">
        <v>-15000</v>
      </c>
    </row>
    <row r="1733" spans="1:9" x14ac:dyDescent="0.3">
      <c r="A1733" s="48" t="s">
        <v>55</v>
      </c>
      <c r="C1733">
        <v>-4000</v>
      </c>
      <c r="D1733">
        <v>5000</v>
      </c>
      <c r="E1733">
        <v>-16000</v>
      </c>
      <c r="F1733">
        <v>17000</v>
      </c>
      <c r="G1733">
        <v>-16000</v>
      </c>
      <c r="H1733">
        <v>-16000</v>
      </c>
      <c r="I1733">
        <v>-16000</v>
      </c>
    </row>
    <row r="1734" spans="1:9" x14ac:dyDescent="0.3">
      <c r="A1734" s="48" t="s">
        <v>56</v>
      </c>
      <c r="C1734">
        <v>-3000</v>
      </c>
      <c r="D1734">
        <v>4000</v>
      </c>
      <c r="E1734">
        <v>-17000</v>
      </c>
      <c r="F1734">
        <v>16000</v>
      </c>
      <c r="G1734">
        <v>-17000</v>
      </c>
      <c r="H1734">
        <v>-17000</v>
      </c>
      <c r="I1734">
        <v>-17000</v>
      </c>
    </row>
    <row r="1735" spans="1:9" x14ac:dyDescent="0.3">
      <c r="A1735" s="48" t="s">
        <v>57</v>
      </c>
      <c r="C1735">
        <v>-2000</v>
      </c>
      <c r="D1735">
        <v>3000</v>
      </c>
      <c r="E1735">
        <v>-18000</v>
      </c>
      <c r="F1735">
        <v>15000</v>
      </c>
      <c r="G1735">
        <v>-18000</v>
      </c>
      <c r="H1735">
        <v>-18000</v>
      </c>
      <c r="I1735">
        <v>-18000</v>
      </c>
    </row>
    <row r="1736" spans="1:9" x14ac:dyDescent="0.3">
      <c r="A1736" s="48" t="s">
        <v>58</v>
      </c>
      <c r="C1736">
        <v>-1000</v>
      </c>
      <c r="D1736">
        <v>2000</v>
      </c>
      <c r="E1736">
        <v>-19000</v>
      </c>
      <c r="F1736">
        <v>14000</v>
      </c>
      <c r="G1736">
        <v>-19000</v>
      </c>
      <c r="H1736">
        <v>-19000</v>
      </c>
      <c r="I1736">
        <v>-19000</v>
      </c>
    </row>
    <row r="1737" spans="1:9" x14ac:dyDescent="0.3">
      <c r="A1737" s="15" t="s">
        <v>62</v>
      </c>
    </row>
    <row r="1738" spans="1:9" x14ac:dyDescent="0.3">
      <c r="A1738" s="48" t="s">
        <v>35</v>
      </c>
      <c r="C1738">
        <v>-11000</v>
      </c>
      <c r="D1738">
        <v>13000</v>
      </c>
      <c r="E1738">
        <v>-11000</v>
      </c>
      <c r="F1738">
        <v>22000</v>
      </c>
      <c r="G1738">
        <v>-11000</v>
      </c>
      <c r="H1738">
        <v>-11000</v>
      </c>
      <c r="I1738">
        <v>-11000</v>
      </c>
    </row>
    <row r="1739" spans="1:9" x14ac:dyDescent="0.3">
      <c r="A1739" s="48" t="s">
        <v>41</v>
      </c>
      <c r="C1739">
        <v>-10000</v>
      </c>
      <c r="D1739">
        <v>12000</v>
      </c>
      <c r="E1739">
        <v>-12000</v>
      </c>
      <c r="F1739">
        <v>21000</v>
      </c>
      <c r="G1739">
        <v>-12000</v>
      </c>
      <c r="H1739">
        <v>-12000</v>
      </c>
      <c r="I1739">
        <v>-12000</v>
      </c>
    </row>
    <row r="1740" spans="1:9" x14ac:dyDescent="0.3">
      <c r="A1740" s="48" t="s">
        <v>42</v>
      </c>
      <c r="C1740">
        <v>-9000</v>
      </c>
      <c r="D1740">
        <v>11000</v>
      </c>
      <c r="E1740">
        <v>-13000</v>
      </c>
      <c r="F1740">
        <v>20000</v>
      </c>
      <c r="G1740">
        <v>-13000</v>
      </c>
      <c r="H1740">
        <v>-13000</v>
      </c>
      <c r="I1740">
        <v>-13000</v>
      </c>
    </row>
    <row r="1741" spans="1:9" x14ac:dyDescent="0.3">
      <c r="A1741" s="48" t="s">
        <v>43</v>
      </c>
      <c r="C1741">
        <v>-8000</v>
      </c>
      <c r="D1741">
        <v>10000</v>
      </c>
      <c r="E1741">
        <v>-14000</v>
      </c>
      <c r="F1741">
        <v>19000</v>
      </c>
      <c r="G1741">
        <v>-14000</v>
      </c>
      <c r="H1741">
        <v>-14000</v>
      </c>
      <c r="I1741">
        <v>-14000</v>
      </c>
    </row>
    <row r="1742" spans="1:9" x14ac:dyDescent="0.3">
      <c r="A1742" s="48" t="s">
        <v>44</v>
      </c>
      <c r="C1742">
        <v>-7000</v>
      </c>
      <c r="D1742">
        <v>9000</v>
      </c>
      <c r="E1742">
        <v>-15000</v>
      </c>
      <c r="F1742">
        <v>18000</v>
      </c>
      <c r="G1742">
        <v>-15000</v>
      </c>
      <c r="H1742">
        <v>-15000</v>
      </c>
      <c r="I1742">
        <v>-15000</v>
      </c>
    </row>
    <row r="1743" spans="1:9" x14ac:dyDescent="0.3">
      <c r="A1743" s="48" t="s">
        <v>54</v>
      </c>
      <c r="C1743">
        <v>-6000</v>
      </c>
      <c r="D1743">
        <v>8000</v>
      </c>
      <c r="E1743">
        <v>-16000</v>
      </c>
      <c r="F1743">
        <v>17000</v>
      </c>
      <c r="G1743">
        <v>-16000</v>
      </c>
      <c r="H1743">
        <v>-16000</v>
      </c>
      <c r="I1743">
        <v>-16000</v>
      </c>
    </row>
    <row r="1744" spans="1:9" x14ac:dyDescent="0.3">
      <c r="A1744" s="48" t="s">
        <v>55</v>
      </c>
      <c r="C1744">
        <v>-5000</v>
      </c>
      <c r="D1744">
        <v>7000</v>
      </c>
      <c r="E1744">
        <v>-17000</v>
      </c>
      <c r="F1744">
        <v>16000</v>
      </c>
      <c r="G1744">
        <v>-17000</v>
      </c>
      <c r="H1744">
        <v>-17000</v>
      </c>
      <c r="I1744">
        <v>-17000</v>
      </c>
    </row>
    <row r="1745" spans="1:9" x14ac:dyDescent="0.3">
      <c r="A1745" s="48" t="s">
        <v>56</v>
      </c>
      <c r="C1745">
        <v>-4000</v>
      </c>
      <c r="D1745">
        <v>6000</v>
      </c>
      <c r="E1745">
        <v>-18000</v>
      </c>
      <c r="F1745">
        <v>15000</v>
      </c>
      <c r="G1745">
        <v>-18000</v>
      </c>
      <c r="H1745">
        <v>-18000</v>
      </c>
      <c r="I1745">
        <v>-18000</v>
      </c>
    </row>
    <row r="1746" spans="1:9" x14ac:dyDescent="0.3">
      <c r="A1746" s="48" t="s">
        <v>57</v>
      </c>
      <c r="C1746">
        <v>-3000</v>
      </c>
      <c r="D1746">
        <v>5000</v>
      </c>
      <c r="E1746">
        <v>-19000</v>
      </c>
      <c r="F1746">
        <v>14000</v>
      </c>
      <c r="G1746">
        <v>-19000</v>
      </c>
      <c r="H1746">
        <v>-19000</v>
      </c>
      <c r="I1746">
        <v>-19000</v>
      </c>
    </row>
    <row r="1747" spans="1:9" x14ac:dyDescent="0.3">
      <c r="A1747" s="48" t="s">
        <v>58</v>
      </c>
      <c r="C1747">
        <v>-2000</v>
      </c>
      <c r="D1747">
        <v>4000</v>
      </c>
      <c r="E1747">
        <v>-20000</v>
      </c>
      <c r="F1747">
        <v>13000</v>
      </c>
      <c r="G1747">
        <v>-20000</v>
      </c>
      <c r="H1747">
        <v>-20000</v>
      </c>
      <c r="I1747">
        <v>-20000</v>
      </c>
    </row>
    <row r="1748" spans="1:9" x14ac:dyDescent="0.3">
      <c r="A1748" s="15" t="s">
        <v>63</v>
      </c>
    </row>
    <row r="1749" spans="1:9" x14ac:dyDescent="0.3">
      <c r="A1749" s="48" t="s">
        <v>35</v>
      </c>
      <c r="C1749">
        <v>-12000</v>
      </c>
      <c r="D1749">
        <v>15000</v>
      </c>
      <c r="E1749">
        <v>-12000</v>
      </c>
      <c r="F1749">
        <v>21000</v>
      </c>
      <c r="G1749">
        <v>-12000</v>
      </c>
      <c r="H1749">
        <v>-12000</v>
      </c>
      <c r="I1749">
        <v>-12000</v>
      </c>
    </row>
    <row r="1750" spans="1:9" x14ac:dyDescent="0.3">
      <c r="A1750" s="48" t="s">
        <v>41</v>
      </c>
      <c r="C1750">
        <v>-11000</v>
      </c>
      <c r="D1750">
        <v>14000</v>
      </c>
      <c r="E1750">
        <v>-13000</v>
      </c>
      <c r="F1750">
        <v>20000</v>
      </c>
      <c r="G1750">
        <v>-13000</v>
      </c>
      <c r="H1750">
        <v>-13000</v>
      </c>
      <c r="I1750">
        <v>-13000</v>
      </c>
    </row>
    <row r="1751" spans="1:9" x14ac:dyDescent="0.3">
      <c r="A1751" s="48" t="s">
        <v>42</v>
      </c>
      <c r="C1751">
        <v>-10000</v>
      </c>
      <c r="D1751">
        <v>13000</v>
      </c>
      <c r="E1751">
        <v>-14000</v>
      </c>
      <c r="F1751">
        <v>19000</v>
      </c>
      <c r="G1751">
        <v>-14000</v>
      </c>
      <c r="H1751">
        <v>-14000</v>
      </c>
      <c r="I1751">
        <v>-14000</v>
      </c>
    </row>
    <row r="1752" spans="1:9" x14ac:dyDescent="0.3">
      <c r="A1752" s="48" t="s">
        <v>43</v>
      </c>
      <c r="C1752">
        <v>-9000</v>
      </c>
      <c r="D1752">
        <v>12000</v>
      </c>
      <c r="E1752">
        <v>-15000</v>
      </c>
      <c r="F1752">
        <v>18000</v>
      </c>
      <c r="G1752">
        <v>-15000</v>
      </c>
      <c r="H1752">
        <v>-15000</v>
      </c>
      <c r="I1752">
        <v>-15000</v>
      </c>
    </row>
    <row r="1753" spans="1:9" x14ac:dyDescent="0.3">
      <c r="A1753" s="48" t="s">
        <v>44</v>
      </c>
      <c r="C1753">
        <v>-8000</v>
      </c>
      <c r="D1753">
        <v>11000</v>
      </c>
      <c r="E1753">
        <v>-16000</v>
      </c>
      <c r="F1753">
        <v>17000</v>
      </c>
      <c r="G1753">
        <v>-16000</v>
      </c>
      <c r="H1753">
        <v>-16000</v>
      </c>
      <c r="I1753">
        <v>-16000</v>
      </c>
    </row>
    <row r="1754" spans="1:9" x14ac:dyDescent="0.3">
      <c r="A1754" s="48" t="s">
        <v>54</v>
      </c>
      <c r="C1754">
        <v>-7000</v>
      </c>
      <c r="D1754">
        <v>10000</v>
      </c>
      <c r="E1754">
        <v>-17000</v>
      </c>
      <c r="F1754">
        <v>16000</v>
      </c>
      <c r="G1754">
        <v>-17000</v>
      </c>
      <c r="H1754">
        <v>-17000</v>
      </c>
      <c r="I1754">
        <v>-17000</v>
      </c>
    </row>
    <row r="1755" spans="1:9" x14ac:dyDescent="0.3">
      <c r="A1755" s="48" t="s">
        <v>55</v>
      </c>
      <c r="C1755">
        <v>-6000</v>
      </c>
      <c r="D1755">
        <v>9000</v>
      </c>
      <c r="E1755">
        <v>-18000</v>
      </c>
      <c r="F1755">
        <v>15000</v>
      </c>
      <c r="G1755">
        <v>-18000</v>
      </c>
      <c r="H1755">
        <v>-18000</v>
      </c>
      <c r="I1755">
        <v>-18000</v>
      </c>
    </row>
    <row r="1756" spans="1:9" x14ac:dyDescent="0.3">
      <c r="A1756" s="48" t="s">
        <v>56</v>
      </c>
      <c r="C1756">
        <v>-5000</v>
      </c>
      <c r="D1756">
        <v>8000</v>
      </c>
      <c r="E1756">
        <v>-19000</v>
      </c>
      <c r="F1756">
        <v>14000</v>
      </c>
      <c r="G1756">
        <v>-19000</v>
      </c>
      <c r="H1756">
        <v>-19000</v>
      </c>
      <c r="I1756">
        <v>-19000</v>
      </c>
    </row>
    <row r="1757" spans="1:9" x14ac:dyDescent="0.3">
      <c r="A1757" s="48" t="s">
        <v>57</v>
      </c>
      <c r="C1757">
        <v>-4000</v>
      </c>
      <c r="D1757">
        <v>7000</v>
      </c>
      <c r="E1757">
        <v>-20000</v>
      </c>
      <c r="F1757">
        <v>13000</v>
      </c>
      <c r="G1757">
        <v>-20000</v>
      </c>
      <c r="H1757">
        <v>-20000</v>
      </c>
      <c r="I1757">
        <v>-20000</v>
      </c>
    </row>
    <row r="1758" spans="1:9" x14ac:dyDescent="0.3">
      <c r="A1758" s="48" t="s">
        <v>58</v>
      </c>
      <c r="C1758">
        <v>-3000</v>
      </c>
      <c r="D1758">
        <v>6000</v>
      </c>
      <c r="E1758">
        <v>-21000</v>
      </c>
      <c r="F1758">
        <v>12000</v>
      </c>
      <c r="G1758">
        <v>-21000</v>
      </c>
      <c r="H1758">
        <v>-21000</v>
      </c>
      <c r="I1758">
        <v>-21000</v>
      </c>
    </row>
    <row r="1759" spans="1:9" x14ac:dyDescent="0.3">
      <c r="A1759" s="14" t="s">
        <v>49</v>
      </c>
    </row>
    <row r="1760" spans="1:9" x14ac:dyDescent="0.3">
      <c r="A1760" s="15" t="s">
        <v>34</v>
      </c>
    </row>
    <row r="1761" spans="1:9" x14ac:dyDescent="0.3">
      <c r="A1761" s="48" t="s">
        <v>35</v>
      </c>
      <c r="C1761">
        <v>-4000</v>
      </c>
      <c r="D1761">
        <v>-4000</v>
      </c>
      <c r="E1761">
        <v>2000</v>
      </c>
      <c r="F1761">
        <v>29000</v>
      </c>
      <c r="G1761">
        <v>-4000</v>
      </c>
      <c r="H1761">
        <v>-4000</v>
      </c>
      <c r="I1761">
        <v>-4000</v>
      </c>
    </row>
    <row r="1762" spans="1:9" x14ac:dyDescent="0.3">
      <c r="A1762" s="48" t="s">
        <v>41</v>
      </c>
      <c r="C1762">
        <v>-3000</v>
      </c>
      <c r="D1762">
        <v>-5000</v>
      </c>
      <c r="E1762">
        <v>1000</v>
      </c>
      <c r="F1762">
        <v>28000</v>
      </c>
      <c r="G1762">
        <v>-5000</v>
      </c>
      <c r="H1762">
        <v>-5000</v>
      </c>
      <c r="I1762">
        <v>-5000</v>
      </c>
    </row>
    <row r="1763" spans="1:9" x14ac:dyDescent="0.3">
      <c r="A1763" s="48" t="s">
        <v>42</v>
      </c>
      <c r="C1763">
        <v>-2000</v>
      </c>
      <c r="D1763">
        <v>-6000</v>
      </c>
      <c r="E1763">
        <v>0</v>
      </c>
      <c r="F1763">
        <v>27000</v>
      </c>
      <c r="G1763">
        <v>-6000</v>
      </c>
      <c r="H1763">
        <v>-6000</v>
      </c>
      <c r="I1763">
        <v>-6000</v>
      </c>
    </row>
    <row r="1764" spans="1:9" x14ac:dyDescent="0.3">
      <c r="A1764" s="48" t="s">
        <v>43</v>
      </c>
      <c r="C1764">
        <v>-1000</v>
      </c>
      <c r="D1764">
        <v>-7000</v>
      </c>
      <c r="E1764">
        <v>-1000</v>
      </c>
      <c r="F1764">
        <v>26000</v>
      </c>
      <c r="G1764">
        <v>-7000</v>
      </c>
      <c r="H1764">
        <v>-7000</v>
      </c>
      <c r="I1764">
        <v>-7000</v>
      </c>
    </row>
    <row r="1765" spans="1:9" x14ac:dyDescent="0.3">
      <c r="A1765" s="48" t="s">
        <v>44</v>
      </c>
      <c r="C1765">
        <v>0</v>
      </c>
      <c r="D1765">
        <v>-8000</v>
      </c>
      <c r="E1765">
        <v>-2000</v>
      </c>
      <c r="F1765">
        <v>25000</v>
      </c>
      <c r="G1765">
        <v>-8000</v>
      </c>
      <c r="H1765">
        <v>-8000</v>
      </c>
      <c r="I1765">
        <v>-8000</v>
      </c>
    </row>
    <row r="1766" spans="1:9" x14ac:dyDescent="0.3">
      <c r="A1766" s="48" t="s">
        <v>54</v>
      </c>
      <c r="C1766">
        <v>1000</v>
      </c>
      <c r="D1766">
        <v>-9000</v>
      </c>
      <c r="E1766">
        <v>-3000</v>
      </c>
      <c r="F1766">
        <v>24000</v>
      </c>
      <c r="G1766">
        <v>-9000</v>
      </c>
      <c r="H1766">
        <v>-9000</v>
      </c>
      <c r="I1766">
        <v>-9000</v>
      </c>
    </row>
    <row r="1767" spans="1:9" x14ac:dyDescent="0.3">
      <c r="A1767" s="48" t="s">
        <v>55</v>
      </c>
      <c r="C1767">
        <v>2000</v>
      </c>
      <c r="D1767">
        <v>-10000</v>
      </c>
      <c r="E1767">
        <v>-4000</v>
      </c>
      <c r="F1767">
        <v>23000</v>
      </c>
      <c r="G1767">
        <v>-10000</v>
      </c>
      <c r="H1767">
        <v>-10000</v>
      </c>
      <c r="I1767">
        <v>-10000</v>
      </c>
    </row>
    <row r="1768" spans="1:9" x14ac:dyDescent="0.3">
      <c r="A1768" s="48" t="s">
        <v>56</v>
      </c>
      <c r="C1768">
        <v>3000</v>
      </c>
      <c r="D1768">
        <v>-11000</v>
      </c>
      <c r="E1768">
        <v>-5000</v>
      </c>
      <c r="F1768">
        <v>22000</v>
      </c>
      <c r="G1768">
        <v>-11000</v>
      </c>
      <c r="H1768">
        <v>-11000</v>
      </c>
      <c r="I1768">
        <v>-11000</v>
      </c>
    </row>
    <row r="1769" spans="1:9" x14ac:dyDescent="0.3">
      <c r="A1769" s="48" t="s">
        <v>57</v>
      </c>
      <c r="C1769">
        <v>4000</v>
      </c>
      <c r="D1769">
        <v>-12000</v>
      </c>
      <c r="E1769">
        <v>-6000</v>
      </c>
      <c r="F1769">
        <v>21000</v>
      </c>
      <c r="G1769">
        <v>-12000</v>
      </c>
      <c r="H1769">
        <v>-12000</v>
      </c>
      <c r="I1769">
        <v>-12000</v>
      </c>
    </row>
    <row r="1770" spans="1:9" x14ac:dyDescent="0.3">
      <c r="A1770" s="48" t="s">
        <v>58</v>
      </c>
      <c r="C1770">
        <v>5000</v>
      </c>
      <c r="D1770">
        <v>-13000</v>
      </c>
      <c r="E1770">
        <v>-7000</v>
      </c>
      <c r="F1770">
        <v>20000</v>
      </c>
      <c r="G1770">
        <v>-13000</v>
      </c>
      <c r="H1770">
        <v>-13000</v>
      </c>
      <c r="I1770">
        <v>-13000</v>
      </c>
    </row>
    <row r="1771" spans="1:9" x14ac:dyDescent="0.3">
      <c r="A1771" s="15" t="s">
        <v>46</v>
      </c>
    </row>
    <row r="1772" spans="1:9" x14ac:dyDescent="0.3">
      <c r="A1772" s="48" t="s">
        <v>35</v>
      </c>
      <c r="C1772">
        <v>-6000</v>
      </c>
      <c r="D1772">
        <v>0</v>
      </c>
      <c r="E1772">
        <v>0</v>
      </c>
      <c r="F1772">
        <v>27000</v>
      </c>
      <c r="G1772">
        <v>-6000</v>
      </c>
      <c r="H1772">
        <v>-6000</v>
      </c>
      <c r="I1772">
        <v>-6000</v>
      </c>
    </row>
    <row r="1773" spans="1:9" x14ac:dyDescent="0.3">
      <c r="A1773" s="48" t="s">
        <v>41</v>
      </c>
      <c r="C1773">
        <v>-5000</v>
      </c>
      <c r="D1773">
        <v>-1000</v>
      </c>
      <c r="E1773">
        <v>-1000</v>
      </c>
      <c r="F1773">
        <v>26000</v>
      </c>
      <c r="G1773">
        <v>-7000</v>
      </c>
      <c r="H1773">
        <v>-7000</v>
      </c>
      <c r="I1773">
        <v>-7000</v>
      </c>
    </row>
    <row r="1774" spans="1:9" x14ac:dyDescent="0.3">
      <c r="A1774" s="48" t="s">
        <v>42</v>
      </c>
      <c r="C1774">
        <v>-4000</v>
      </c>
      <c r="D1774">
        <v>-2000</v>
      </c>
      <c r="E1774">
        <v>-2000</v>
      </c>
      <c r="F1774">
        <v>25000</v>
      </c>
      <c r="G1774">
        <v>-8000</v>
      </c>
      <c r="H1774">
        <v>-8000</v>
      </c>
      <c r="I1774">
        <v>-8000</v>
      </c>
    </row>
    <row r="1775" spans="1:9" x14ac:dyDescent="0.3">
      <c r="A1775" s="48" t="s">
        <v>43</v>
      </c>
      <c r="C1775">
        <v>-3000</v>
      </c>
      <c r="D1775">
        <v>-3000</v>
      </c>
      <c r="E1775">
        <v>-3000</v>
      </c>
      <c r="F1775">
        <v>24000</v>
      </c>
      <c r="G1775">
        <v>-9000</v>
      </c>
      <c r="H1775">
        <v>-9000</v>
      </c>
      <c r="I1775">
        <v>-9000</v>
      </c>
    </row>
    <row r="1776" spans="1:9" x14ac:dyDescent="0.3">
      <c r="A1776" s="48" t="s">
        <v>44</v>
      </c>
      <c r="C1776">
        <v>-2000</v>
      </c>
      <c r="D1776">
        <v>-4000</v>
      </c>
      <c r="E1776">
        <v>-4000</v>
      </c>
      <c r="F1776">
        <v>23000</v>
      </c>
      <c r="G1776">
        <v>-10000</v>
      </c>
      <c r="H1776">
        <v>-10000</v>
      </c>
      <c r="I1776">
        <v>-10000</v>
      </c>
    </row>
    <row r="1777" spans="1:9" x14ac:dyDescent="0.3">
      <c r="A1777" s="48" t="s">
        <v>54</v>
      </c>
      <c r="C1777">
        <v>-1000</v>
      </c>
      <c r="D1777">
        <v>-5000</v>
      </c>
      <c r="E1777">
        <v>-5000</v>
      </c>
      <c r="F1777">
        <v>22000</v>
      </c>
      <c r="G1777">
        <v>-11000</v>
      </c>
      <c r="H1777">
        <v>-11000</v>
      </c>
      <c r="I1777">
        <v>-11000</v>
      </c>
    </row>
    <row r="1778" spans="1:9" x14ac:dyDescent="0.3">
      <c r="A1778" s="48" t="s">
        <v>55</v>
      </c>
      <c r="C1778">
        <v>0</v>
      </c>
      <c r="D1778">
        <v>-6000</v>
      </c>
      <c r="E1778">
        <v>-6000</v>
      </c>
      <c r="F1778">
        <v>21000</v>
      </c>
      <c r="G1778">
        <v>-12000</v>
      </c>
      <c r="H1778">
        <v>-12000</v>
      </c>
      <c r="I1778">
        <v>-12000</v>
      </c>
    </row>
    <row r="1779" spans="1:9" x14ac:dyDescent="0.3">
      <c r="A1779" s="48" t="s">
        <v>56</v>
      </c>
      <c r="C1779">
        <v>1000</v>
      </c>
      <c r="D1779">
        <v>-7000</v>
      </c>
      <c r="E1779">
        <v>-7000</v>
      </c>
      <c r="F1779">
        <v>20000</v>
      </c>
      <c r="G1779">
        <v>-13000</v>
      </c>
      <c r="H1779">
        <v>-13000</v>
      </c>
      <c r="I1779">
        <v>-13000</v>
      </c>
    </row>
    <row r="1780" spans="1:9" x14ac:dyDescent="0.3">
      <c r="A1780" s="48" t="s">
        <v>57</v>
      </c>
      <c r="C1780">
        <v>2000</v>
      </c>
      <c r="D1780">
        <v>-8000</v>
      </c>
      <c r="E1780">
        <v>-8000</v>
      </c>
      <c r="F1780">
        <v>19000</v>
      </c>
      <c r="G1780">
        <v>-14000</v>
      </c>
      <c r="H1780">
        <v>-14000</v>
      </c>
      <c r="I1780">
        <v>-14000</v>
      </c>
    </row>
    <row r="1781" spans="1:9" x14ac:dyDescent="0.3">
      <c r="A1781" s="48" t="s">
        <v>58</v>
      </c>
      <c r="C1781">
        <v>3000</v>
      </c>
      <c r="D1781">
        <v>-9000</v>
      </c>
      <c r="E1781">
        <v>-9000</v>
      </c>
      <c r="F1781">
        <v>18000</v>
      </c>
      <c r="G1781">
        <v>-15000</v>
      </c>
      <c r="H1781">
        <v>-15000</v>
      </c>
      <c r="I1781">
        <v>-15000</v>
      </c>
    </row>
    <row r="1782" spans="1:9" x14ac:dyDescent="0.3">
      <c r="A1782" s="15" t="s">
        <v>47</v>
      </c>
    </row>
    <row r="1783" spans="1:9" x14ac:dyDescent="0.3">
      <c r="A1783" s="48" t="s">
        <v>35</v>
      </c>
      <c r="C1783">
        <v>-7000</v>
      </c>
      <c r="D1783">
        <v>2000</v>
      </c>
      <c r="E1783">
        <v>-1000</v>
      </c>
      <c r="F1783">
        <v>26000</v>
      </c>
      <c r="G1783">
        <v>-7000</v>
      </c>
      <c r="H1783">
        <v>-7000</v>
      </c>
      <c r="I1783">
        <v>-7000</v>
      </c>
    </row>
    <row r="1784" spans="1:9" x14ac:dyDescent="0.3">
      <c r="A1784" s="48" t="s">
        <v>41</v>
      </c>
      <c r="C1784">
        <v>-6000</v>
      </c>
      <c r="D1784">
        <v>1000</v>
      </c>
      <c r="E1784">
        <v>-2000</v>
      </c>
      <c r="F1784">
        <v>25000</v>
      </c>
      <c r="G1784">
        <v>-8000</v>
      </c>
      <c r="H1784">
        <v>-8000</v>
      </c>
      <c r="I1784">
        <v>-8000</v>
      </c>
    </row>
    <row r="1785" spans="1:9" x14ac:dyDescent="0.3">
      <c r="A1785" s="48" t="s">
        <v>42</v>
      </c>
      <c r="C1785">
        <v>-5000</v>
      </c>
      <c r="D1785">
        <v>0</v>
      </c>
      <c r="E1785">
        <v>-3000</v>
      </c>
      <c r="F1785">
        <v>24000</v>
      </c>
      <c r="G1785">
        <v>-9000</v>
      </c>
      <c r="H1785">
        <v>-9000</v>
      </c>
      <c r="I1785">
        <v>-9000</v>
      </c>
    </row>
    <row r="1786" spans="1:9" x14ac:dyDescent="0.3">
      <c r="A1786" s="48" t="s">
        <v>43</v>
      </c>
      <c r="C1786">
        <v>-4000</v>
      </c>
      <c r="D1786">
        <v>-1000</v>
      </c>
      <c r="E1786">
        <v>-4000</v>
      </c>
      <c r="F1786">
        <v>23000</v>
      </c>
      <c r="G1786">
        <v>-10000</v>
      </c>
      <c r="H1786">
        <v>-10000</v>
      </c>
      <c r="I1786">
        <v>-10000</v>
      </c>
    </row>
    <row r="1787" spans="1:9" x14ac:dyDescent="0.3">
      <c r="A1787" s="48" t="s">
        <v>44</v>
      </c>
      <c r="C1787">
        <v>-3000</v>
      </c>
      <c r="D1787">
        <v>-2000</v>
      </c>
      <c r="E1787">
        <v>-5000</v>
      </c>
      <c r="F1787">
        <v>22000</v>
      </c>
      <c r="G1787">
        <v>-11000</v>
      </c>
      <c r="H1787">
        <v>-11000</v>
      </c>
      <c r="I1787">
        <v>-11000</v>
      </c>
    </row>
    <row r="1788" spans="1:9" x14ac:dyDescent="0.3">
      <c r="A1788" s="48" t="s">
        <v>54</v>
      </c>
      <c r="C1788">
        <v>-2000</v>
      </c>
      <c r="D1788">
        <v>-3000</v>
      </c>
      <c r="E1788">
        <v>-6000</v>
      </c>
      <c r="F1788">
        <v>21000</v>
      </c>
      <c r="G1788">
        <v>-12000</v>
      </c>
      <c r="H1788">
        <v>-12000</v>
      </c>
      <c r="I1788">
        <v>-12000</v>
      </c>
    </row>
    <row r="1789" spans="1:9" x14ac:dyDescent="0.3">
      <c r="A1789" s="48" t="s">
        <v>55</v>
      </c>
      <c r="C1789">
        <v>-1000</v>
      </c>
      <c r="D1789">
        <v>-4000</v>
      </c>
      <c r="E1789">
        <v>-7000</v>
      </c>
      <c r="F1789">
        <v>20000</v>
      </c>
      <c r="G1789">
        <v>-13000</v>
      </c>
      <c r="H1789">
        <v>-13000</v>
      </c>
      <c r="I1789">
        <v>-13000</v>
      </c>
    </row>
    <row r="1790" spans="1:9" x14ac:dyDescent="0.3">
      <c r="A1790" s="48" t="s">
        <v>56</v>
      </c>
      <c r="C1790">
        <v>0</v>
      </c>
      <c r="D1790">
        <v>-5000</v>
      </c>
      <c r="E1790">
        <v>-8000</v>
      </c>
      <c r="F1790">
        <v>19000</v>
      </c>
      <c r="G1790">
        <v>-14000</v>
      </c>
      <c r="H1790">
        <v>-14000</v>
      </c>
      <c r="I1790">
        <v>-14000</v>
      </c>
    </row>
    <row r="1791" spans="1:9" x14ac:dyDescent="0.3">
      <c r="A1791" s="48" t="s">
        <v>57</v>
      </c>
      <c r="C1791">
        <v>1000</v>
      </c>
      <c r="D1791">
        <v>-6000</v>
      </c>
      <c r="E1791">
        <v>-9000</v>
      </c>
      <c r="F1791">
        <v>18000</v>
      </c>
      <c r="G1791">
        <v>-15000</v>
      </c>
      <c r="H1791">
        <v>-15000</v>
      </c>
      <c r="I1791">
        <v>-15000</v>
      </c>
    </row>
    <row r="1792" spans="1:9" x14ac:dyDescent="0.3">
      <c r="A1792" s="48" t="s">
        <v>58</v>
      </c>
      <c r="C1792">
        <v>2000</v>
      </c>
      <c r="D1792">
        <v>-7000</v>
      </c>
      <c r="E1792">
        <v>-10000</v>
      </c>
      <c r="F1792">
        <v>17000</v>
      </c>
      <c r="G1792">
        <v>-16000</v>
      </c>
      <c r="H1792">
        <v>-16000</v>
      </c>
      <c r="I1792">
        <v>-16000</v>
      </c>
    </row>
    <row r="1793" spans="1:9" x14ac:dyDescent="0.3">
      <c r="A1793" s="15" t="s">
        <v>48</v>
      </c>
    </row>
    <row r="1794" spans="1:9" x14ac:dyDescent="0.3">
      <c r="A1794" s="48" t="s">
        <v>35</v>
      </c>
      <c r="C1794">
        <v>-8000</v>
      </c>
      <c r="D1794">
        <v>4000</v>
      </c>
      <c r="E1794">
        <v>-2000</v>
      </c>
      <c r="F1794">
        <v>25000</v>
      </c>
      <c r="G1794">
        <v>-8000</v>
      </c>
      <c r="H1794">
        <v>-8000</v>
      </c>
      <c r="I1794">
        <v>-8000</v>
      </c>
    </row>
    <row r="1795" spans="1:9" x14ac:dyDescent="0.3">
      <c r="A1795" s="48" t="s">
        <v>41</v>
      </c>
      <c r="C1795">
        <v>-7000</v>
      </c>
      <c r="D1795">
        <v>3000</v>
      </c>
      <c r="E1795">
        <v>-3000</v>
      </c>
      <c r="F1795">
        <v>24000</v>
      </c>
      <c r="G1795">
        <v>-9000</v>
      </c>
      <c r="H1795">
        <v>-9000</v>
      </c>
      <c r="I1795">
        <v>-9000</v>
      </c>
    </row>
    <row r="1796" spans="1:9" x14ac:dyDescent="0.3">
      <c r="A1796" s="48" t="s">
        <v>42</v>
      </c>
      <c r="C1796">
        <v>-6000</v>
      </c>
      <c r="D1796">
        <v>2000</v>
      </c>
      <c r="E1796">
        <v>-4000</v>
      </c>
      <c r="F1796">
        <v>23000</v>
      </c>
      <c r="G1796">
        <v>-10000</v>
      </c>
      <c r="H1796">
        <v>-10000</v>
      </c>
      <c r="I1796">
        <v>-10000</v>
      </c>
    </row>
    <row r="1797" spans="1:9" x14ac:dyDescent="0.3">
      <c r="A1797" s="48" t="s">
        <v>43</v>
      </c>
      <c r="C1797">
        <v>-5000</v>
      </c>
      <c r="D1797">
        <v>1000</v>
      </c>
      <c r="E1797">
        <v>-5000</v>
      </c>
      <c r="F1797">
        <v>22000</v>
      </c>
      <c r="G1797">
        <v>-11000</v>
      </c>
      <c r="H1797">
        <v>-11000</v>
      </c>
      <c r="I1797">
        <v>-11000</v>
      </c>
    </row>
    <row r="1798" spans="1:9" x14ac:dyDescent="0.3">
      <c r="A1798" s="48" t="s">
        <v>44</v>
      </c>
      <c r="C1798">
        <v>-4000</v>
      </c>
      <c r="D1798">
        <v>0</v>
      </c>
      <c r="E1798">
        <v>-6000</v>
      </c>
      <c r="F1798">
        <v>21000</v>
      </c>
      <c r="G1798">
        <v>-12000</v>
      </c>
      <c r="H1798">
        <v>-12000</v>
      </c>
      <c r="I1798">
        <v>-12000</v>
      </c>
    </row>
    <row r="1799" spans="1:9" x14ac:dyDescent="0.3">
      <c r="A1799" s="48" t="s">
        <v>54</v>
      </c>
      <c r="C1799">
        <v>-3000</v>
      </c>
      <c r="D1799">
        <v>-1000</v>
      </c>
      <c r="E1799">
        <v>-7000</v>
      </c>
      <c r="F1799">
        <v>20000</v>
      </c>
      <c r="G1799">
        <v>-13000</v>
      </c>
      <c r="H1799">
        <v>-13000</v>
      </c>
      <c r="I1799">
        <v>-13000</v>
      </c>
    </row>
    <row r="1800" spans="1:9" x14ac:dyDescent="0.3">
      <c r="A1800" s="48" t="s">
        <v>55</v>
      </c>
      <c r="C1800">
        <v>-2000</v>
      </c>
      <c r="D1800">
        <v>-2000</v>
      </c>
      <c r="E1800">
        <v>-8000</v>
      </c>
      <c r="F1800">
        <v>19000</v>
      </c>
      <c r="G1800">
        <v>-14000</v>
      </c>
      <c r="H1800">
        <v>-14000</v>
      </c>
      <c r="I1800">
        <v>-14000</v>
      </c>
    </row>
    <row r="1801" spans="1:9" x14ac:dyDescent="0.3">
      <c r="A1801" s="48" t="s">
        <v>56</v>
      </c>
      <c r="C1801">
        <v>-1000</v>
      </c>
      <c r="D1801">
        <v>-3000</v>
      </c>
      <c r="E1801">
        <v>-9000</v>
      </c>
      <c r="F1801">
        <v>18000</v>
      </c>
      <c r="G1801">
        <v>-15000</v>
      </c>
      <c r="H1801">
        <v>-15000</v>
      </c>
      <c r="I1801">
        <v>-15000</v>
      </c>
    </row>
    <row r="1802" spans="1:9" x14ac:dyDescent="0.3">
      <c r="A1802" s="48" t="s">
        <v>57</v>
      </c>
      <c r="C1802">
        <v>0</v>
      </c>
      <c r="D1802">
        <v>-4000</v>
      </c>
      <c r="E1802">
        <v>-10000</v>
      </c>
      <c r="F1802">
        <v>17000</v>
      </c>
      <c r="G1802">
        <v>-16000</v>
      </c>
      <c r="H1802">
        <v>-16000</v>
      </c>
      <c r="I1802">
        <v>-16000</v>
      </c>
    </row>
    <row r="1803" spans="1:9" x14ac:dyDescent="0.3">
      <c r="A1803" s="48" t="s">
        <v>58</v>
      </c>
      <c r="C1803">
        <v>1000</v>
      </c>
      <c r="D1803">
        <v>-5000</v>
      </c>
      <c r="E1803">
        <v>-11000</v>
      </c>
      <c r="F1803">
        <v>16000</v>
      </c>
      <c r="G1803">
        <v>-17000</v>
      </c>
      <c r="H1803">
        <v>-17000</v>
      </c>
      <c r="I1803">
        <v>-17000</v>
      </c>
    </row>
    <row r="1804" spans="1:9" x14ac:dyDescent="0.3">
      <c r="A1804" s="15" t="s">
        <v>59</v>
      </c>
    </row>
    <row r="1805" spans="1:9" x14ac:dyDescent="0.3">
      <c r="A1805" s="48" t="s">
        <v>35</v>
      </c>
      <c r="C1805">
        <v>-9000</v>
      </c>
      <c r="D1805">
        <v>6000</v>
      </c>
      <c r="E1805">
        <v>-3000</v>
      </c>
      <c r="F1805">
        <v>24000</v>
      </c>
      <c r="G1805">
        <v>-9000</v>
      </c>
      <c r="H1805">
        <v>-9000</v>
      </c>
      <c r="I1805">
        <v>-9000</v>
      </c>
    </row>
    <row r="1806" spans="1:9" x14ac:dyDescent="0.3">
      <c r="A1806" s="48" t="s">
        <v>41</v>
      </c>
      <c r="C1806">
        <v>-8000</v>
      </c>
      <c r="D1806">
        <v>5000</v>
      </c>
      <c r="E1806">
        <v>-4000</v>
      </c>
      <c r="F1806">
        <v>23000</v>
      </c>
      <c r="G1806">
        <v>-10000</v>
      </c>
      <c r="H1806">
        <v>-10000</v>
      </c>
      <c r="I1806">
        <v>-10000</v>
      </c>
    </row>
    <row r="1807" spans="1:9" x14ac:dyDescent="0.3">
      <c r="A1807" s="48" t="s">
        <v>42</v>
      </c>
      <c r="C1807">
        <v>-7000</v>
      </c>
      <c r="D1807">
        <v>4000</v>
      </c>
      <c r="E1807">
        <v>-5000</v>
      </c>
      <c r="F1807">
        <v>22000</v>
      </c>
      <c r="G1807">
        <v>-11000</v>
      </c>
      <c r="H1807">
        <v>-11000</v>
      </c>
      <c r="I1807">
        <v>-11000</v>
      </c>
    </row>
    <row r="1808" spans="1:9" x14ac:dyDescent="0.3">
      <c r="A1808" s="48" t="s">
        <v>43</v>
      </c>
      <c r="C1808">
        <v>-6000</v>
      </c>
      <c r="D1808">
        <v>3000</v>
      </c>
      <c r="E1808">
        <v>-6000</v>
      </c>
      <c r="F1808">
        <v>21000</v>
      </c>
      <c r="G1808">
        <v>-12000</v>
      </c>
      <c r="H1808">
        <v>-12000</v>
      </c>
      <c r="I1808">
        <v>-12000</v>
      </c>
    </row>
    <row r="1809" spans="1:9" x14ac:dyDescent="0.3">
      <c r="A1809" s="48" t="s">
        <v>44</v>
      </c>
      <c r="C1809">
        <v>-5000</v>
      </c>
      <c r="D1809">
        <v>2000</v>
      </c>
      <c r="E1809">
        <v>-7000</v>
      </c>
      <c r="F1809">
        <v>20000</v>
      </c>
      <c r="G1809">
        <v>-13000</v>
      </c>
      <c r="H1809">
        <v>-13000</v>
      </c>
      <c r="I1809">
        <v>-13000</v>
      </c>
    </row>
    <row r="1810" spans="1:9" x14ac:dyDescent="0.3">
      <c r="A1810" s="48" t="s">
        <v>54</v>
      </c>
      <c r="C1810">
        <v>-4000</v>
      </c>
      <c r="D1810">
        <v>1000</v>
      </c>
      <c r="E1810">
        <v>-8000</v>
      </c>
      <c r="F1810">
        <v>19000</v>
      </c>
      <c r="G1810">
        <v>-14000</v>
      </c>
      <c r="H1810">
        <v>-14000</v>
      </c>
      <c r="I1810">
        <v>-14000</v>
      </c>
    </row>
    <row r="1811" spans="1:9" x14ac:dyDescent="0.3">
      <c r="A1811" s="48" t="s">
        <v>55</v>
      </c>
      <c r="C1811">
        <v>-3000</v>
      </c>
      <c r="D1811">
        <v>0</v>
      </c>
      <c r="E1811">
        <v>-9000</v>
      </c>
      <c r="F1811">
        <v>18000</v>
      </c>
      <c r="G1811">
        <v>-15000</v>
      </c>
      <c r="H1811">
        <v>-15000</v>
      </c>
      <c r="I1811">
        <v>-15000</v>
      </c>
    </row>
    <row r="1812" spans="1:9" x14ac:dyDescent="0.3">
      <c r="A1812" s="48" t="s">
        <v>56</v>
      </c>
      <c r="C1812">
        <v>-2000</v>
      </c>
      <c r="D1812">
        <v>-1000</v>
      </c>
      <c r="E1812">
        <v>-10000</v>
      </c>
      <c r="F1812">
        <v>17000</v>
      </c>
      <c r="G1812">
        <v>-16000</v>
      </c>
      <c r="H1812">
        <v>-16000</v>
      </c>
      <c r="I1812">
        <v>-16000</v>
      </c>
    </row>
    <row r="1813" spans="1:9" x14ac:dyDescent="0.3">
      <c r="A1813" s="48" t="s">
        <v>57</v>
      </c>
      <c r="C1813">
        <v>-1000</v>
      </c>
      <c r="D1813">
        <v>-2000</v>
      </c>
      <c r="E1813">
        <v>-11000</v>
      </c>
      <c r="F1813">
        <v>16000</v>
      </c>
      <c r="G1813">
        <v>-17000</v>
      </c>
      <c r="H1813">
        <v>-17000</v>
      </c>
      <c r="I1813">
        <v>-17000</v>
      </c>
    </row>
    <row r="1814" spans="1:9" x14ac:dyDescent="0.3">
      <c r="A1814" s="48" t="s">
        <v>58</v>
      </c>
      <c r="C1814">
        <v>0</v>
      </c>
      <c r="D1814">
        <v>-3000</v>
      </c>
      <c r="E1814">
        <v>-12000</v>
      </c>
      <c r="F1814">
        <v>15000</v>
      </c>
      <c r="G1814">
        <v>-18000</v>
      </c>
      <c r="H1814">
        <v>-18000</v>
      </c>
      <c r="I1814">
        <v>-18000</v>
      </c>
    </row>
    <row r="1815" spans="1:9" x14ac:dyDescent="0.3">
      <c r="A1815" s="15" t="s">
        <v>60</v>
      </c>
    </row>
    <row r="1816" spans="1:9" x14ac:dyDescent="0.3">
      <c r="A1816" s="48" t="s">
        <v>35</v>
      </c>
      <c r="C1816">
        <v>-10000</v>
      </c>
      <c r="D1816">
        <v>8000</v>
      </c>
      <c r="E1816">
        <v>-4000</v>
      </c>
      <c r="F1816">
        <v>23000</v>
      </c>
      <c r="G1816">
        <v>-10000</v>
      </c>
      <c r="H1816">
        <v>-10000</v>
      </c>
      <c r="I1816">
        <v>-10000</v>
      </c>
    </row>
    <row r="1817" spans="1:9" x14ac:dyDescent="0.3">
      <c r="A1817" s="48" t="s">
        <v>41</v>
      </c>
      <c r="C1817">
        <v>-9000</v>
      </c>
      <c r="D1817">
        <v>7000</v>
      </c>
      <c r="E1817">
        <v>-5000</v>
      </c>
      <c r="F1817">
        <v>22000</v>
      </c>
      <c r="G1817">
        <v>-11000</v>
      </c>
      <c r="H1817">
        <v>-11000</v>
      </c>
      <c r="I1817">
        <v>-11000</v>
      </c>
    </row>
    <row r="1818" spans="1:9" x14ac:dyDescent="0.3">
      <c r="A1818" s="48" t="s">
        <v>42</v>
      </c>
      <c r="C1818">
        <v>-8000</v>
      </c>
      <c r="D1818">
        <v>6000</v>
      </c>
      <c r="E1818">
        <v>-6000</v>
      </c>
      <c r="F1818">
        <v>21000</v>
      </c>
      <c r="G1818">
        <v>-12000</v>
      </c>
      <c r="H1818">
        <v>-12000</v>
      </c>
      <c r="I1818">
        <v>-12000</v>
      </c>
    </row>
    <row r="1819" spans="1:9" x14ac:dyDescent="0.3">
      <c r="A1819" s="48" t="s">
        <v>43</v>
      </c>
      <c r="C1819">
        <v>-7000</v>
      </c>
      <c r="D1819">
        <v>5000</v>
      </c>
      <c r="E1819">
        <v>-7000</v>
      </c>
      <c r="F1819">
        <v>20000</v>
      </c>
      <c r="G1819">
        <v>-13000</v>
      </c>
      <c r="H1819">
        <v>-13000</v>
      </c>
      <c r="I1819">
        <v>-13000</v>
      </c>
    </row>
    <row r="1820" spans="1:9" x14ac:dyDescent="0.3">
      <c r="A1820" s="48" t="s">
        <v>44</v>
      </c>
      <c r="C1820">
        <v>-6000</v>
      </c>
      <c r="D1820">
        <v>4000</v>
      </c>
      <c r="E1820">
        <v>-8000</v>
      </c>
      <c r="F1820">
        <v>19000</v>
      </c>
      <c r="G1820">
        <v>-14000</v>
      </c>
      <c r="H1820">
        <v>-14000</v>
      </c>
      <c r="I1820">
        <v>-14000</v>
      </c>
    </row>
    <row r="1821" spans="1:9" x14ac:dyDescent="0.3">
      <c r="A1821" s="48" t="s">
        <v>54</v>
      </c>
      <c r="C1821">
        <v>-5000</v>
      </c>
      <c r="D1821">
        <v>3000</v>
      </c>
      <c r="E1821">
        <v>-9000</v>
      </c>
      <c r="F1821">
        <v>18000</v>
      </c>
      <c r="G1821">
        <v>-15000</v>
      </c>
      <c r="H1821">
        <v>-15000</v>
      </c>
      <c r="I1821">
        <v>-15000</v>
      </c>
    </row>
    <row r="1822" spans="1:9" x14ac:dyDescent="0.3">
      <c r="A1822" s="48" t="s">
        <v>55</v>
      </c>
      <c r="C1822">
        <v>-4000</v>
      </c>
      <c r="D1822">
        <v>2000</v>
      </c>
      <c r="E1822">
        <v>-10000</v>
      </c>
      <c r="F1822">
        <v>17000</v>
      </c>
      <c r="G1822">
        <v>-16000</v>
      </c>
      <c r="H1822">
        <v>-16000</v>
      </c>
      <c r="I1822">
        <v>-16000</v>
      </c>
    </row>
    <row r="1823" spans="1:9" x14ac:dyDescent="0.3">
      <c r="A1823" s="48" t="s">
        <v>56</v>
      </c>
      <c r="C1823">
        <v>-3000</v>
      </c>
      <c r="D1823">
        <v>1000</v>
      </c>
      <c r="E1823">
        <v>-11000</v>
      </c>
      <c r="F1823">
        <v>16000</v>
      </c>
      <c r="G1823">
        <v>-17000</v>
      </c>
      <c r="H1823">
        <v>-17000</v>
      </c>
      <c r="I1823">
        <v>-17000</v>
      </c>
    </row>
    <row r="1824" spans="1:9" x14ac:dyDescent="0.3">
      <c r="A1824" s="48" t="s">
        <v>57</v>
      </c>
      <c r="C1824">
        <v>-2000</v>
      </c>
      <c r="D1824">
        <v>0</v>
      </c>
      <c r="E1824">
        <v>-12000</v>
      </c>
      <c r="F1824">
        <v>15000</v>
      </c>
      <c r="G1824">
        <v>-18000</v>
      </c>
      <c r="H1824">
        <v>-18000</v>
      </c>
      <c r="I1824">
        <v>-18000</v>
      </c>
    </row>
    <row r="1825" spans="1:9" x14ac:dyDescent="0.3">
      <c r="A1825" s="48" t="s">
        <v>58</v>
      </c>
      <c r="C1825">
        <v>-1000</v>
      </c>
      <c r="D1825">
        <v>-1000</v>
      </c>
      <c r="E1825">
        <v>-13000</v>
      </c>
      <c r="F1825">
        <v>14000</v>
      </c>
      <c r="G1825">
        <v>-19000</v>
      </c>
      <c r="H1825">
        <v>-19000</v>
      </c>
      <c r="I1825">
        <v>-19000</v>
      </c>
    </row>
    <row r="1826" spans="1:9" x14ac:dyDescent="0.3">
      <c r="A1826" s="15" t="s">
        <v>61</v>
      </c>
    </row>
    <row r="1827" spans="1:9" x14ac:dyDescent="0.3">
      <c r="A1827" s="48" t="s">
        <v>35</v>
      </c>
      <c r="C1827">
        <v>-11000</v>
      </c>
      <c r="D1827">
        <v>10000</v>
      </c>
      <c r="E1827">
        <v>-5000</v>
      </c>
      <c r="F1827">
        <v>22000</v>
      </c>
      <c r="G1827">
        <v>-11000</v>
      </c>
      <c r="H1827">
        <v>-11000</v>
      </c>
      <c r="I1827">
        <v>-11000</v>
      </c>
    </row>
    <row r="1828" spans="1:9" x14ac:dyDescent="0.3">
      <c r="A1828" s="48" t="s">
        <v>41</v>
      </c>
      <c r="C1828">
        <v>-10000</v>
      </c>
      <c r="D1828">
        <v>9000</v>
      </c>
      <c r="E1828">
        <v>-6000</v>
      </c>
      <c r="F1828">
        <v>21000</v>
      </c>
      <c r="G1828">
        <v>-12000</v>
      </c>
      <c r="H1828">
        <v>-12000</v>
      </c>
      <c r="I1828">
        <v>-12000</v>
      </c>
    </row>
    <row r="1829" spans="1:9" x14ac:dyDescent="0.3">
      <c r="A1829" s="48" t="s">
        <v>42</v>
      </c>
      <c r="C1829">
        <v>-9000</v>
      </c>
      <c r="D1829">
        <v>8000</v>
      </c>
      <c r="E1829">
        <v>-7000</v>
      </c>
      <c r="F1829">
        <v>20000</v>
      </c>
      <c r="G1829">
        <v>-13000</v>
      </c>
      <c r="H1829">
        <v>-13000</v>
      </c>
      <c r="I1829">
        <v>-13000</v>
      </c>
    </row>
    <row r="1830" spans="1:9" x14ac:dyDescent="0.3">
      <c r="A1830" s="48" t="s">
        <v>43</v>
      </c>
      <c r="C1830">
        <v>-8000</v>
      </c>
      <c r="D1830">
        <v>7000</v>
      </c>
      <c r="E1830">
        <v>-8000</v>
      </c>
      <c r="F1830">
        <v>19000</v>
      </c>
      <c r="G1830">
        <v>-14000</v>
      </c>
      <c r="H1830">
        <v>-14000</v>
      </c>
      <c r="I1830">
        <v>-14000</v>
      </c>
    </row>
    <row r="1831" spans="1:9" x14ac:dyDescent="0.3">
      <c r="A1831" s="48" t="s">
        <v>44</v>
      </c>
      <c r="C1831">
        <v>-7000</v>
      </c>
      <c r="D1831">
        <v>6000</v>
      </c>
      <c r="E1831">
        <v>-9000</v>
      </c>
      <c r="F1831">
        <v>18000</v>
      </c>
      <c r="G1831">
        <v>-15000</v>
      </c>
      <c r="H1831">
        <v>-15000</v>
      </c>
      <c r="I1831">
        <v>-15000</v>
      </c>
    </row>
    <row r="1832" spans="1:9" x14ac:dyDescent="0.3">
      <c r="A1832" s="48" t="s">
        <v>54</v>
      </c>
      <c r="C1832">
        <v>-6000</v>
      </c>
      <c r="D1832">
        <v>5000</v>
      </c>
      <c r="E1832">
        <v>-10000</v>
      </c>
      <c r="F1832">
        <v>17000</v>
      </c>
      <c r="G1832">
        <v>-16000</v>
      </c>
      <c r="H1832">
        <v>-16000</v>
      </c>
      <c r="I1832">
        <v>-16000</v>
      </c>
    </row>
    <row r="1833" spans="1:9" x14ac:dyDescent="0.3">
      <c r="A1833" s="48" t="s">
        <v>55</v>
      </c>
      <c r="C1833">
        <v>-5000</v>
      </c>
      <c r="D1833">
        <v>4000</v>
      </c>
      <c r="E1833">
        <v>-11000</v>
      </c>
      <c r="F1833">
        <v>16000</v>
      </c>
      <c r="G1833">
        <v>-17000</v>
      </c>
      <c r="H1833">
        <v>-17000</v>
      </c>
      <c r="I1833">
        <v>-17000</v>
      </c>
    </row>
    <row r="1834" spans="1:9" x14ac:dyDescent="0.3">
      <c r="A1834" s="48" t="s">
        <v>56</v>
      </c>
      <c r="C1834">
        <v>-4000</v>
      </c>
      <c r="D1834">
        <v>3000</v>
      </c>
      <c r="E1834">
        <v>-12000</v>
      </c>
      <c r="F1834">
        <v>15000</v>
      </c>
      <c r="G1834">
        <v>-18000</v>
      </c>
      <c r="H1834">
        <v>-18000</v>
      </c>
      <c r="I1834">
        <v>-18000</v>
      </c>
    </row>
    <row r="1835" spans="1:9" x14ac:dyDescent="0.3">
      <c r="A1835" s="48" t="s">
        <v>57</v>
      </c>
      <c r="C1835">
        <v>-3000</v>
      </c>
      <c r="D1835">
        <v>2000</v>
      </c>
      <c r="E1835">
        <v>-13000</v>
      </c>
      <c r="F1835">
        <v>14000</v>
      </c>
      <c r="G1835">
        <v>-19000</v>
      </c>
      <c r="H1835">
        <v>-19000</v>
      </c>
      <c r="I1835">
        <v>-19000</v>
      </c>
    </row>
    <row r="1836" spans="1:9" x14ac:dyDescent="0.3">
      <c r="A1836" s="48" t="s">
        <v>58</v>
      </c>
      <c r="C1836">
        <v>-2000</v>
      </c>
      <c r="D1836">
        <v>1000</v>
      </c>
      <c r="E1836">
        <v>-14000</v>
      </c>
      <c r="F1836">
        <v>13000</v>
      </c>
      <c r="G1836">
        <v>-20000</v>
      </c>
      <c r="H1836">
        <v>-20000</v>
      </c>
      <c r="I1836">
        <v>-20000</v>
      </c>
    </row>
    <row r="1837" spans="1:9" x14ac:dyDescent="0.3">
      <c r="A1837" s="15" t="s">
        <v>62</v>
      </c>
    </row>
    <row r="1838" spans="1:9" x14ac:dyDescent="0.3">
      <c r="A1838" s="48" t="s">
        <v>35</v>
      </c>
      <c r="C1838">
        <v>-12000</v>
      </c>
      <c r="D1838">
        <v>12000</v>
      </c>
      <c r="E1838">
        <v>-6000</v>
      </c>
      <c r="F1838">
        <v>21000</v>
      </c>
      <c r="G1838">
        <v>-12000</v>
      </c>
      <c r="H1838">
        <v>-12000</v>
      </c>
      <c r="I1838">
        <v>-12000</v>
      </c>
    </row>
    <row r="1839" spans="1:9" x14ac:dyDescent="0.3">
      <c r="A1839" s="48" t="s">
        <v>41</v>
      </c>
      <c r="C1839">
        <v>-11000</v>
      </c>
      <c r="D1839">
        <v>11000</v>
      </c>
      <c r="E1839">
        <v>-7000</v>
      </c>
      <c r="F1839">
        <v>20000</v>
      </c>
      <c r="G1839">
        <v>-13000</v>
      </c>
      <c r="H1839">
        <v>-13000</v>
      </c>
      <c r="I1839">
        <v>-13000</v>
      </c>
    </row>
    <row r="1840" spans="1:9" x14ac:dyDescent="0.3">
      <c r="A1840" s="48" t="s">
        <v>42</v>
      </c>
      <c r="C1840">
        <v>-10000</v>
      </c>
      <c r="D1840">
        <v>10000</v>
      </c>
      <c r="E1840">
        <v>-8000</v>
      </c>
      <c r="F1840">
        <v>19000</v>
      </c>
      <c r="G1840">
        <v>-14000</v>
      </c>
      <c r="H1840">
        <v>-14000</v>
      </c>
      <c r="I1840">
        <v>-14000</v>
      </c>
    </row>
    <row r="1841" spans="1:9" x14ac:dyDescent="0.3">
      <c r="A1841" s="48" t="s">
        <v>43</v>
      </c>
      <c r="C1841">
        <v>-9000</v>
      </c>
      <c r="D1841">
        <v>9000</v>
      </c>
      <c r="E1841">
        <v>-9000</v>
      </c>
      <c r="F1841">
        <v>18000</v>
      </c>
      <c r="G1841">
        <v>-15000</v>
      </c>
      <c r="H1841">
        <v>-15000</v>
      </c>
      <c r="I1841">
        <v>-15000</v>
      </c>
    </row>
    <row r="1842" spans="1:9" x14ac:dyDescent="0.3">
      <c r="A1842" s="48" t="s">
        <v>44</v>
      </c>
      <c r="C1842">
        <v>-8000</v>
      </c>
      <c r="D1842">
        <v>8000</v>
      </c>
      <c r="E1842">
        <v>-10000</v>
      </c>
      <c r="F1842">
        <v>17000</v>
      </c>
      <c r="G1842">
        <v>-16000</v>
      </c>
      <c r="H1842">
        <v>-16000</v>
      </c>
      <c r="I1842">
        <v>-16000</v>
      </c>
    </row>
    <row r="1843" spans="1:9" x14ac:dyDescent="0.3">
      <c r="A1843" s="48" t="s">
        <v>54</v>
      </c>
      <c r="C1843">
        <v>-7000</v>
      </c>
      <c r="D1843">
        <v>7000</v>
      </c>
      <c r="E1843">
        <v>-11000</v>
      </c>
      <c r="F1843">
        <v>16000</v>
      </c>
      <c r="G1843">
        <v>-17000</v>
      </c>
      <c r="H1843">
        <v>-17000</v>
      </c>
      <c r="I1843">
        <v>-17000</v>
      </c>
    </row>
    <row r="1844" spans="1:9" x14ac:dyDescent="0.3">
      <c r="A1844" s="48" t="s">
        <v>55</v>
      </c>
      <c r="C1844">
        <v>-6000</v>
      </c>
      <c r="D1844">
        <v>6000</v>
      </c>
      <c r="E1844">
        <v>-12000</v>
      </c>
      <c r="F1844">
        <v>15000</v>
      </c>
      <c r="G1844">
        <v>-18000</v>
      </c>
      <c r="H1844">
        <v>-18000</v>
      </c>
      <c r="I1844">
        <v>-18000</v>
      </c>
    </row>
    <row r="1845" spans="1:9" x14ac:dyDescent="0.3">
      <c r="A1845" s="48" t="s">
        <v>56</v>
      </c>
      <c r="C1845">
        <v>-5000</v>
      </c>
      <c r="D1845">
        <v>5000</v>
      </c>
      <c r="E1845">
        <v>-13000</v>
      </c>
      <c r="F1845">
        <v>14000</v>
      </c>
      <c r="G1845">
        <v>-19000</v>
      </c>
      <c r="H1845">
        <v>-19000</v>
      </c>
      <c r="I1845">
        <v>-19000</v>
      </c>
    </row>
    <row r="1846" spans="1:9" x14ac:dyDescent="0.3">
      <c r="A1846" s="48" t="s">
        <v>57</v>
      </c>
      <c r="C1846">
        <v>-4000</v>
      </c>
      <c r="D1846">
        <v>4000</v>
      </c>
      <c r="E1846">
        <v>-14000</v>
      </c>
      <c r="F1846">
        <v>13000</v>
      </c>
      <c r="G1846">
        <v>-20000</v>
      </c>
      <c r="H1846">
        <v>-20000</v>
      </c>
      <c r="I1846">
        <v>-20000</v>
      </c>
    </row>
    <row r="1847" spans="1:9" x14ac:dyDescent="0.3">
      <c r="A1847" s="48" t="s">
        <v>58</v>
      </c>
      <c r="C1847">
        <v>-3000</v>
      </c>
      <c r="D1847">
        <v>3000</v>
      </c>
      <c r="E1847">
        <v>-15000</v>
      </c>
      <c r="F1847">
        <v>12000</v>
      </c>
      <c r="G1847">
        <v>-21000</v>
      </c>
      <c r="H1847">
        <v>-21000</v>
      </c>
      <c r="I1847">
        <v>-21000</v>
      </c>
    </row>
    <row r="1848" spans="1:9" x14ac:dyDescent="0.3">
      <c r="A1848" s="15" t="s">
        <v>63</v>
      </c>
    </row>
    <row r="1849" spans="1:9" x14ac:dyDescent="0.3">
      <c r="A1849" s="48" t="s">
        <v>35</v>
      </c>
      <c r="C1849">
        <v>-13000</v>
      </c>
      <c r="D1849">
        <v>14000</v>
      </c>
      <c r="E1849">
        <v>-7000</v>
      </c>
      <c r="F1849">
        <v>20000</v>
      </c>
      <c r="G1849">
        <v>-13000</v>
      </c>
      <c r="H1849">
        <v>-13000</v>
      </c>
      <c r="I1849">
        <v>-13000</v>
      </c>
    </row>
    <row r="1850" spans="1:9" x14ac:dyDescent="0.3">
      <c r="A1850" s="48" t="s">
        <v>41</v>
      </c>
      <c r="C1850">
        <v>-12000</v>
      </c>
      <c r="D1850">
        <v>13000</v>
      </c>
      <c r="E1850">
        <v>-8000</v>
      </c>
      <c r="F1850">
        <v>19000</v>
      </c>
      <c r="G1850">
        <v>-14000</v>
      </c>
      <c r="H1850">
        <v>-14000</v>
      </c>
      <c r="I1850">
        <v>-14000</v>
      </c>
    </row>
    <row r="1851" spans="1:9" x14ac:dyDescent="0.3">
      <c r="A1851" s="48" t="s">
        <v>42</v>
      </c>
      <c r="C1851">
        <v>-11000</v>
      </c>
      <c r="D1851">
        <v>12000</v>
      </c>
      <c r="E1851">
        <v>-9000</v>
      </c>
      <c r="F1851">
        <v>18000</v>
      </c>
      <c r="G1851">
        <v>-15000</v>
      </c>
      <c r="H1851">
        <v>-15000</v>
      </c>
      <c r="I1851">
        <v>-15000</v>
      </c>
    </row>
    <row r="1852" spans="1:9" x14ac:dyDescent="0.3">
      <c r="A1852" s="48" t="s">
        <v>43</v>
      </c>
      <c r="C1852">
        <v>-10000</v>
      </c>
      <c r="D1852">
        <v>11000</v>
      </c>
      <c r="E1852">
        <v>-10000</v>
      </c>
      <c r="F1852">
        <v>17000</v>
      </c>
      <c r="G1852">
        <v>-16000</v>
      </c>
      <c r="H1852">
        <v>-16000</v>
      </c>
      <c r="I1852">
        <v>-16000</v>
      </c>
    </row>
    <row r="1853" spans="1:9" x14ac:dyDescent="0.3">
      <c r="A1853" s="48" t="s">
        <v>44</v>
      </c>
      <c r="C1853">
        <v>-9000</v>
      </c>
      <c r="D1853">
        <v>10000</v>
      </c>
      <c r="E1853">
        <v>-11000</v>
      </c>
      <c r="F1853">
        <v>16000</v>
      </c>
      <c r="G1853">
        <v>-17000</v>
      </c>
      <c r="H1853">
        <v>-17000</v>
      </c>
      <c r="I1853">
        <v>-17000</v>
      </c>
    </row>
    <row r="1854" spans="1:9" x14ac:dyDescent="0.3">
      <c r="A1854" s="48" t="s">
        <v>54</v>
      </c>
      <c r="C1854">
        <v>-8000</v>
      </c>
      <c r="D1854">
        <v>9000</v>
      </c>
      <c r="E1854">
        <v>-12000</v>
      </c>
      <c r="F1854">
        <v>15000</v>
      </c>
      <c r="G1854">
        <v>-18000</v>
      </c>
      <c r="H1854">
        <v>-18000</v>
      </c>
      <c r="I1854">
        <v>-18000</v>
      </c>
    </row>
    <row r="1855" spans="1:9" x14ac:dyDescent="0.3">
      <c r="A1855" s="48" t="s">
        <v>55</v>
      </c>
      <c r="C1855">
        <v>-7000</v>
      </c>
      <c r="D1855">
        <v>8000</v>
      </c>
      <c r="E1855">
        <v>-13000</v>
      </c>
      <c r="F1855">
        <v>14000</v>
      </c>
      <c r="G1855">
        <v>-19000</v>
      </c>
      <c r="H1855">
        <v>-19000</v>
      </c>
      <c r="I1855">
        <v>-19000</v>
      </c>
    </row>
    <row r="1856" spans="1:9" x14ac:dyDescent="0.3">
      <c r="A1856" s="48" t="s">
        <v>56</v>
      </c>
      <c r="C1856">
        <v>-6000</v>
      </c>
      <c r="D1856">
        <v>7000</v>
      </c>
      <c r="E1856">
        <v>-14000</v>
      </c>
      <c r="F1856">
        <v>13000</v>
      </c>
      <c r="G1856">
        <v>-20000</v>
      </c>
      <c r="H1856">
        <v>-20000</v>
      </c>
      <c r="I1856">
        <v>-20000</v>
      </c>
    </row>
    <row r="1857" spans="1:9" x14ac:dyDescent="0.3">
      <c r="A1857" s="48" t="s">
        <v>57</v>
      </c>
      <c r="C1857">
        <v>-5000</v>
      </c>
      <c r="D1857">
        <v>6000</v>
      </c>
      <c r="E1857">
        <v>-15000</v>
      </c>
      <c r="F1857">
        <v>12000</v>
      </c>
      <c r="G1857">
        <v>-21000</v>
      </c>
      <c r="H1857">
        <v>-21000</v>
      </c>
      <c r="I1857">
        <v>-21000</v>
      </c>
    </row>
    <row r="1858" spans="1:9" x14ac:dyDescent="0.3">
      <c r="A1858" s="48" t="s">
        <v>58</v>
      </c>
      <c r="C1858">
        <v>-4000</v>
      </c>
      <c r="D1858">
        <v>5000</v>
      </c>
      <c r="E1858">
        <v>-16000</v>
      </c>
      <c r="F1858">
        <v>11000</v>
      </c>
      <c r="G1858">
        <v>-22000</v>
      </c>
      <c r="H1858">
        <v>-22000</v>
      </c>
      <c r="I1858">
        <v>-22000</v>
      </c>
    </row>
    <row r="1859" spans="1:9" x14ac:dyDescent="0.3">
      <c r="A1859" s="15" t="s">
        <v>50</v>
      </c>
      <c r="B1859">
        <v>-6000</v>
      </c>
      <c r="C1859">
        <v>-5000</v>
      </c>
      <c r="D1859">
        <v>-65000</v>
      </c>
      <c r="E1859">
        <v>-35000</v>
      </c>
      <c r="F1859">
        <v>235000</v>
      </c>
      <c r="G1859">
        <v>-95000</v>
      </c>
      <c r="H1859">
        <v>-95000</v>
      </c>
      <c r="I1859">
        <v>-89000</v>
      </c>
    </row>
    <row r="1860" spans="1:9" x14ac:dyDescent="0.3">
      <c r="A1860" s="14" t="s">
        <v>50</v>
      </c>
    </row>
    <row r="1861" spans="1:9" x14ac:dyDescent="0.3">
      <c r="A1861" s="15" t="s">
        <v>34</v>
      </c>
    </row>
    <row r="1862" spans="1:9" x14ac:dyDescent="0.3">
      <c r="A1862" s="48" t="s">
        <v>35</v>
      </c>
      <c r="C1862">
        <v>-5000</v>
      </c>
      <c r="D1862">
        <v>-5000</v>
      </c>
      <c r="E1862">
        <v>7000</v>
      </c>
      <c r="F1862">
        <v>28000</v>
      </c>
      <c r="G1862">
        <v>-5000</v>
      </c>
      <c r="H1862">
        <v>-5000</v>
      </c>
      <c r="I1862">
        <v>-5000</v>
      </c>
    </row>
    <row r="1863" spans="1:9" x14ac:dyDescent="0.3">
      <c r="A1863" s="48" t="s">
        <v>41</v>
      </c>
      <c r="C1863">
        <v>-4000</v>
      </c>
      <c r="D1863">
        <v>-6000</v>
      </c>
      <c r="E1863">
        <v>6000</v>
      </c>
      <c r="F1863">
        <v>27000</v>
      </c>
      <c r="G1863">
        <v>-6000</v>
      </c>
      <c r="H1863">
        <v>-6000</v>
      </c>
      <c r="I1863">
        <v>-6000</v>
      </c>
    </row>
    <row r="1864" spans="1:9" x14ac:dyDescent="0.3">
      <c r="A1864" s="48" t="s">
        <v>42</v>
      </c>
      <c r="C1864">
        <v>-3000</v>
      </c>
      <c r="D1864">
        <v>-7000</v>
      </c>
      <c r="E1864">
        <v>5000</v>
      </c>
      <c r="F1864">
        <v>26000</v>
      </c>
      <c r="G1864">
        <v>-7000</v>
      </c>
      <c r="H1864">
        <v>-7000</v>
      </c>
      <c r="I1864">
        <v>-7000</v>
      </c>
    </row>
    <row r="1865" spans="1:9" x14ac:dyDescent="0.3">
      <c r="A1865" s="48" t="s">
        <v>43</v>
      </c>
      <c r="C1865">
        <v>-2000</v>
      </c>
      <c r="D1865">
        <v>-8000</v>
      </c>
      <c r="E1865">
        <v>4000</v>
      </c>
      <c r="F1865">
        <v>25000</v>
      </c>
      <c r="G1865">
        <v>-8000</v>
      </c>
      <c r="H1865">
        <v>-8000</v>
      </c>
      <c r="I1865">
        <v>-8000</v>
      </c>
    </row>
    <row r="1866" spans="1:9" x14ac:dyDescent="0.3">
      <c r="A1866" s="48" t="s">
        <v>44</v>
      </c>
      <c r="C1866">
        <v>-1000</v>
      </c>
      <c r="D1866">
        <v>-9000</v>
      </c>
      <c r="E1866">
        <v>3000</v>
      </c>
      <c r="F1866">
        <v>24000</v>
      </c>
      <c r="G1866">
        <v>-9000</v>
      </c>
      <c r="H1866">
        <v>-9000</v>
      </c>
      <c r="I1866">
        <v>-9000</v>
      </c>
    </row>
    <row r="1867" spans="1:9" x14ac:dyDescent="0.3">
      <c r="A1867" s="48" t="s">
        <v>54</v>
      </c>
      <c r="C1867">
        <v>0</v>
      </c>
      <c r="D1867">
        <v>-10000</v>
      </c>
      <c r="E1867">
        <v>2000</v>
      </c>
      <c r="F1867">
        <v>23000</v>
      </c>
      <c r="G1867">
        <v>-10000</v>
      </c>
      <c r="H1867">
        <v>-10000</v>
      </c>
      <c r="I1867">
        <v>-10000</v>
      </c>
    </row>
    <row r="1868" spans="1:9" x14ac:dyDescent="0.3">
      <c r="A1868" s="48" t="s">
        <v>55</v>
      </c>
      <c r="C1868">
        <v>1000</v>
      </c>
      <c r="D1868">
        <v>-11000</v>
      </c>
      <c r="E1868">
        <v>1000</v>
      </c>
      <c r="F1868">
        <v>22000</v>
      </c>
      <c r="G1868">
        <v>-11000</v>
      </c>
      <c r="H1868">
        <v>-11000</v>
      </c>
      <c r="I1868">
        <v>-11000</v>
      </c>
    </row>
    <row r="1869" spans="1:9" x14ac:dyDescent="0.3">
      <c r="A1869" s="48" t="s">
        <v>56</v>
      </c>
      <c r="C1869">
        <v>2000</v>
      </c>
      <c r="D1869">
        <v>-12000</v>
      </c>
      <c r="E1869">
        <v>0</v>
      </c>
      <c r="F1869">
        <v>21000</v>
      </c>
      <c r="G1869">
        <v>-12000</v>
      </c>
      <c r="H1869">
        <v>-12000</v>
      </c>
      <c r="I1869">
        <v>-12000</v>
      </c>
    </row>
    <row r="1870" spans="1:9" x14ac:dyDescent="0.3">
      <c r="A1870" s="48" t="s">
        <v>57</v>
      </c>
      <c r="C1870">
        <v>3000</v>
      </c>
      <c r="D1870">
        <v>-13000</v>
      </c>
      <c r="E1870">
        <v>-1000</v>
      </c>
      <c r="F1870">
        <v>20000</v>
      </c>
      <c r="G1870">
        <v>-13000</v>
      </c>
      <c r="H1870">
        <v>-13000</v>
      </c>
      <c r="I1870">
        <v>-13000</v>
      </c>
    </row>
    <row r="1871" spans="1:9" x14ac:dyDescent="0.3">
      <c r="A1871" s="48" t="s">
        <v>58</v>
      </c>
      <c r="C1871">
        <v>4000</v>
      </c>
      <c r="D1871">
        <v>-14000</v>
      </c>
      <c r="E1871">
        <v>-2000</v>
      </c>
      <c r="F1871">
        <v>19000</v>
      </c>
      <c r="G1871">
        <v>-14000</v>
      </c>
      <c r="H1871">
        <v>-14000</v>
      </c>
      <c r="I1871">
        <v>-14000</v>
      </c>
    </row>
    <row r="1872" spans="1:9" x14ac:dyDescent="0.3">
      <c r="A1872" s="15" t="s">
        <v>45</v>
      </c>
    </row>
    <row r="1873" spans="1:9" x14ac:dyDescent="0.3">
      <c r="A1873" s="48" t="s">
        <v>35</v>
      </c>
      <c r="C1873">
        <v>-6000</v>
      </c>
      <c r="D1873">
        <v>-3000</v>
      </c>
      <c r="E1873">
        <v>6000</v>
      </c>
      <c r="F1873">
        <v>27000</v>
      </c>
      <c r="G1873">
        <v>-6000</v>
      </c>
      <c r="H1873">
        <v>-6000</v>
      </c>
      <c r="I1873">
        <v>-6000</v>
      </c>
    </row>
    <row r="1874" spans="1:9" x14ac:dyDescent="0.3">
      <c r="A1874" s="48" t="s">
        <v>41</v>
      </c>
      <c r="C1874">
        <v>-5000</v>
      </c>
      <c r="D1874">
        <v>-4000</v>
      </c>
      <c r="E1874">
        <v>5000</v>
      </c>
      <c r="F1874">
        <v>26000</v>
      </c>
      <c r="G1874">
        <v>-7000</v>
      </c>
      <c r="H1874">
        <v>-7000</v>
      </c>
      <c r="I1874">
        <v>-7000</v>
      </c>
    </row>
    <row r="1875" spans="1:9" x14ac:dyDescent="0.3">
      <c r="A1875" s="48" t="s">
        <v>42</v>
      </c>
      <c r="C1875">
        <v>-4000</v>
      </c>
      <c r="D1875">
        <v>-5000</v>
      </c>
      <c r="E1875">
        <v>4000</v>
      </c>
      <c r="F1875">
        <v>25000</v>
      </c>
      <c r="G1875">
        <v>-8000</v>
      </c>
      <c r="H1875">
        <v>-8000</v>
      </c>
      <c r="I1875">
        <v>-8000</v>
      </c>
    </row>
    <row r="1876" spans="1:9" x14ac:dyDescent="0.3">
      <c r="A1876" s="48" t="s">
        <v>43</v>
      </c>
      <c r="C1876">
        <v>-3000</v>
      </c>
      <c r="D1876">
        <v>-6000</v>
      </c>
      <c r="E1876">
        <v>3000</v>
      </c>
      <c r="F1876">
        <v>24000</v>
      </c>
      <c r="G1876">
        <v>-9000</v>
      </c>
      <c r="H1876">
        <v>-9000</v>
      </c>
      <c r="I1876">
        <v>-9000</v>
      </c>
    </row>
    <row r="1877" spans="1:9" x14ac:dyDescent="0.3">
      <c r="A1877" s="48" t="s">
        <v>44</v>
      </c>
      <c r="C1877">
        <v>-2000</v>
      </c>
      <c r="D1877">
        <v>-7000</v>
      </c>
      <c r="E1877">
        <v>2000</v>
      </c>
      <c r="F1877">
        <v>23000</v>
      </c>
      <c r="G1877">
        <v>-10000</v>
      </c>
      <c r="H1877">
        <v>-10000</v>
      </c>
      <c r="I1877">
        <v>-10000</v>
      </c>
    </row>
    <row r="1878" spans="1:9" x14ac:dyDescent="0.3">
      <c r="A1878" s="48" t="s">
        <v>54</v>
      </c>
      <c r="C1878">
        <v>-1000</v>
      </c>
      <c r="D1878">
        <v>-8000</v>
      </c>
      <c r="E1878">
        <v>1000</v>
      </c>
      <c r="F1878">
        <v>22000</v>
      </c>
      <c r="G1878">
        <v>-11000</v>
      </c>
      <c r="H1878">
        <v>-11000</v>
      </c>
      <c r="I1878">
        <v>-11000</v>
      </c>
    </row>
    <row r="1879" spans="1:9" x14ac:dyDescent="0.3">
      <c r="A1879" s="48" t="s">
        <v>55</v>
      </c>
      <c r="C1879">
        <v>0</v>
      </c>
      <c r="D1879">
        <v>-9000</v>
      </c>
      <c r="E1879">
        <v>0</v>
      </c>
      <c r="F1879">
        <v>21000</v>
      </c>
      <c r="G1879">
        <v>-12000</v>
      </c>
      <c r="H1879">
        <v>-12000</v>
      </c>
      <c r="I1879">
        <v>-12000</v>
      </c>
    </row>
    <row r="1880" spans="1:9" x14ac:dyDescent="0.3">
      <c r="A1880" s="48" t="s">
        <v>56</v>
      </c>
      <c r="C1880">
        <v>1000</v>
      </c>
      <c r="D1880">
        <v>-10000</v>
      </c>
      <c r="E1880">
        <v>-1000</v>
      </c>
      <c r="F1880">
        <v>20000</v>
      </c>
      <c r="G1880">
        <v>-13000</v>
      </c>
      <c r="H1880">
        <v>-13000</v>
      </c>
      <c r="I1880">
        <v>-13000</v>
      </c>
    </row>
    <row r="1881" spans="1:9" x14ac:dyDescent="0.3">
      <c r="A1881" s="48" t="s">
        <v>57</v>
      </c>
      <c r="C1881">
        <v>2000</v>
      </c>
      <c r="D1881">
        <v>-11000</v>
      </c>
      <c r="E1881">
        <v>-2000</v>
      </c>
      <c r="F1881">
        <v>19000</v>
      </c>
      <c r="G1881">
        <v>-14000</v>
      </c>
      <c r="H1881">
        <v>-14000</v>
      </c>
      <c r="I1881">
        <v>-14000</v>
      </c>
    </row>
    <row r="1882" spans="1:9" x14ac:dyDescent="0.3">
      <c r="A1882" s="48" t="s">
        <v>58</v>
      </c>
      <c r="C1882">
        <v>3000</v>
      </c>
      <c r="D1882">
        <v>-12000</v>
      </c>
      <c r="E1882">
        <v>-3000</v>
      </c>
      <c r="F1882">
        <v>18000</v>
      </c>
      <c r="G1882">
        <v>-15000</v>
      </c>
      <c r="H1882">
        <v>-15000</v>
      </c>
      <c r="I1882">
        <v>-15000</v>
      </c>
    </row>
    <row r="1883" spans="1:9" x14ac:dyDescent="0.3">
      <c r="A1883" s="15" t="s">
        <v>46</v>
      </c>
    </row>
    <row r="1884" spans="1:9" x14ac:dyDescent="0.3">
      <c r="A1884" s="48" t="s">
        <v>35</v>
      </c>
      <c r="C1884">
        <v>-7000</v>
      </c>
      <c r="D1884">
        <v>-1000</v>
      </c>
      <c r="E1884">
        <v>5000</v>
      </c>
      <c r="F1884">
        <v>26000</v>
      </c>
      <c r="G1884">
        <v>-7000</v>
      </c>
      <c r="H1884">
        <v>-7000</v>
      </c>
      <c r="I1884">
        <v>-7000</v>
      </c>
    </row>
    <row r="1885" spans="1:9" x14ac:dyDescent="0.3">
      <c r="A1885" s="48" t="s">
        <v>41</v>
      </c>
      <c r="C1885">
        <v>-6000</v>
      </c>
      <c r="D1885">
        <v>-2000</v>
      </c>
      <c r="E1885">
        <v>4000</v>
      </c>
      <c r="F1885">
        <v>25000</v>
      </c>
      <c r="G1885">
        <v>-8000</v>
      </c>
      <c r="H1885">
        <v>-8000</v>
      </c>
      <c r="I1885">
        <v>-8000</v>
      </c>
    </row>
    <row r="1886" spans="1:9" x14ac:dyDescent="0.3">
      <c r="A1886" s="48" t="s">
        <v>42</v>
      </c>
      <c r="C1886">
        <v>-5000</v>
      </c>
      <c r="D1886">
        <v>-3000</v>
      </c>
      <c r="E1886">
        <v>3000</v>
      </c>
      <c r="F1886">
        <v>24000</v>
      </c>
      <c r="G1886">
        <v>-9000</v>
      </c>
      <c r="H1886">
        <v>-9000</v>
      </c>
      <c r="I1886">
        <v>-9000</v>
      </c>
    </row>
    <row r="1887" spans="1:9" x14ac:dyDescent="0.3">
      <c r="A1887" s="48" t="s">
        <v>43</v>
      </c>
      <c r="C1887">
        <v>-4000</v>
      </c>
      <c r="D1887">
        <v>-4000</v>
      </c>
      <c r="E1887">
        <v>2000</v>
      </c>
      <c r="F1887">
        <v>23000</v>
      </c>
      <c r="G1887">
        <v>-10000</v>
      </c>
      <c r="H1887">
        <v>-10000</v>
      </c>
      <c r="I1887">
        <v>-10000</v>
      </c>
    </row>
    <row r="1888" spans="1:9" x14ac:dyDescent="0.3">
      <c r="A1888" s="48" t="s">
        <v>44</v>
      </c>
      <c r="C1888">
        <v>-3000</v>
      </c>
      <c r="D1888">
        <v>-5000</v>
      </c>
      <c r="E1888">
        <v>1000</v>
      </c>
      <c r="F1888">
        <v>22000</v>
      </c>
      <c r="G1888">
        <v>-11000</v>
      </c>
      <c r="H1888">
        <v>-11000</v>
      </c>
      <c r="I1888">
        <v>-11000</v>
      </c>
    </row>
    <row r="1889" spans="1:9" x14ac:dyDescent="0.3">
      <c r="A1889" s="48" t="s">
        <v>54</v>
      </c>
      <c r="C1889">
        <v>-2000</v>
      </c>
      <c r="D1889">
        <v>-6000</v>
      </c>
      <c r="E1889">
        <v>0</v>
      </c>
      <c r="F1889">
        <v>21000</v>
      </c>
      <c r="G1889">
        <v>-12000</v>
      </c>
      <c r="H1889">
        <v>-12000</v>
      </c>
      <c r="I1889">
        <v>-12000</v>
      </c>
    </row>
    <row r="1890" spans="1:9" x14ac:dyDescent="0.3">
      <c r="A1890" s="48" t="s">
        <v>55</v>
      </c>
      <c r="C1890">
        <v>-1000</v>
      </c>
      <c r="D1890">
        <v>-7000</v>
      </c>
      <c r="E1890">
        <v>-1000</v>
      </c>
      <c r="F1890">
        <v>20000</v>
      </c>
      <c r="G1890">
        <v>-13000</v>
      </c>
      <c r="H1890">
        <v>-13000</v>
      </c>
      <c r="I1890">
        <v>-13000</v>
      </c>
    </row>
    <row r="1891" spans="1:9" x14ac:dyDescent="0.3">
      <c r="A1891" s="48" t="s">
        <v>56</v>
      </c>
      <c r="C1891">
        <v>0</v>
      </c>
      <c r="D1891">
        <v>-8000</v>
      </c>
      <c r="E1891">
        <v>-2000</v>
      </c>
      <c r="F1891">
        <v>19000</v>
      </c>
      <c r="G1891">
        <v>-14000</v>
      </c>
      <c r="H1891">
        <v>-14000</v>
      </c>
      <c r="I1891">
        <v>-14000</v>
      </c>
    </row>
    <row r="1892" spans="1:9" x14ac:dyDescent="0.3">
      <c r="A1892" s="48" t="s">
        <v>57</v>
      </c>
      <c r="C1892">
        <v>1000</v>
      </c>
      <c r="D1892">
        <v>-9000</v>
      </c>
      <c r="E1892">
        <v>-3000</v>
      </c>
      <c r="F1892">
        <v>18000</v>
      </c>
      <c r="G1892">
        <v>-15000</v>
      </c>
      <c r="H1892">
        <v>-15000</v>
      </c>
      <c r="I1892">
        <v>-15000</v>
      </c>
    </row>
    <row r="1893" spans="1:9" x14ac:dyDescent="0.3">
      <c r="A1893" s="48" t="s">
        <v>58</v>
      </c>
      <c r="C1893">
        <v>2000</v>
      </c>
      <c r="D1893">
        <v>-10000</v>
      </c>
      <c r="E1893">
        <v>-4000</v>
      </c>
      <c r="F1893">
        <v>17000</v>
      </c>
      <c r="G1893">
        <v>-16000</v>
      </c>
      <c r="H1893">
        <v>-16000</v>
      </c>
      <c r="I1893">
        <v>-16000</v>
      </c>
    </row>
    <row r="1894" spans="1:9" x14ac:dyDescent="0.3">
      <c r="A1894" s="15" t="s">
        <v>47</v>
      </c>
    </row>
    <row r="1895" spans="1:9" x14ac:dyDescent="0.3">
      <c r="A1895" s="48" t="s">
        <v>35</v>
      </c>
      <c r="C1895">
        <v>-8000</v>
      </c>
      <c r="D1895">
        <v>1000</v>
      </c>
      <c r="E1895">
        <v>4000</v>
      </c>
      <c r="F1895">
        <v>25000</v>
      </c>
      <c r="G1895">
        <v>-8000</v>
      </c>
      <c r="H1895">
        <v>-8000</v>
      </c>
      <c r="I1895">
        <v>-8000</v>
      </c>
    </row>
    <row r="1896" spans="1:9" x14ac:dyDescent="0.3">
      <c r="A1896" s="48" t="s">
        <v>41</v>
      </c>
      <c r="C1896">
        <v>-7000</v>
      </c>
      <c r="D1896">
        <v>0</v>
      </c>
      <c r="E1896">
        <v>3000</v>
      </c>
      <c r="F1896">
        <v>24000</v>
      </c>
      <c r="G1896">
        <v>-9000</v>
      </c>
      <c r="H1896">
        <v>-9000</v>
      </c>
      <c r="I1896">
        <v>-9000</v>
      </c>
    </row>
    <row r="1897" spans="1:9" x14ac:dyDescent="0.3">
      <c r="A1897" s="48" t="s">
        <v>42</v>
      </c>
      <c r="C1897">
        <v>-6000</v>
      </c>
      <c r="D1897">
        <v>-1000</v>
      </c>
      <c r="E1897">
        <v>2000</v>
      </c>
      <c r="F1897">
        <v>23000</v>
      </c>
      <c r="G1897">
        <v>-10000</v>
      </c>
      <c r="H1897">
        <v>-10000</v>
      </c>
      <c r="I1897">
        <v>-10000</v>
      </c>
    </row>
    <row r="1898" spans="1:9" x14ac:dyDescent="0.3">
      <c r="A1898" s="48" t="s">
        <v>43</v>
      </c>
      <c r="C1898">
        <v>-5000</v>
      </c>
      <c r="D1898">
        <v>-2000</v>
      </c>
      <c r="E1898">
        <v>1000</v>
      </c>
      <c r="F1898">
        <v>22000</v>
      </c>
      <c r="G1898">
        <v>-11000</v>
      </c>
      <c r="H1898">
        <v>-11000</v>
      </c>
      <c r="I1898">
        <v>-11000</v>
      </c>
    </row>
    <row r="1899" spans="1:9" x14ac:dyDescent="0.3">
      <c r="A1899" s="48" t="s">
        <v>44</v>
      </c>
      <c r="C1899">
        <v>-4000</v>
      </c>
      <c r="D1899">
        <v>-3000</v>
      </c>
      <c r="E1899">
        <v>0</v>
      </c>
      <c r="F1899">
        <v>21000</v>
      </c>
      <c r="G1899">
        <v>-12000</v>
      </c>
      <c r="H1899">
        <v>-12000</v>
      </c>
      <c r="I1899">
        <v>-12000</v>
      </c>
    </row>
    <row r="1900" spans="1:9" x14ac:dyDescent="0.3">
      <c r="A1900" s="48" t="s">
        <v>54</v>
      </c>
      <c r="C1900">
        <v>-3000</v>
      </c>
      <c r="D1900">
        <v>-4000</v>
      </c>
      <c r="E1900">
        <v>-1000</v>
      </c>
      <c r="F1900">
        <v>20000</v>
      </c>
      <c r="G1900">
        <v>-13000</v>
      </c>
      <c r="H1900">
        <v>-13000</v>
      </c>
      <c r="I1900">
        <v>-13000</v>
      </c>
    </row>
    <row r="1901" spans="1:9" x14ac:dyDescent="0.3">
      <c r="A1901" s="48" t="s">
        <v>55</v>
      </c>
      <c r="C1901">
        <v>-2000</v>
      </c>
      <c r="D1901">
        <v>-5000</v>
      </c>
      <c r="E1901">
        <v>-2000</v>
      </c>
      <c r="F1901">
        <v>19000</v>
      </c>
      <c r="G1901">
        <v>-14000</v>
      </c>
      <c r="H1901">
        <v>-14000</v>
      </c>
      <c r="I1901">
        <v>-14000</v>
      </c>
    </row>
    <row r="1902" spans="1:9" x14ac:dyDescent="0.3">
      <c r="A1902" s="48" t="s">
        <v>56</v>
      </c>
      <c r="C1902">
        <v>-1000</v>
      </c>
      <c r="D1902">
        <v>-6000</v>
      </c>
      <c r="E1902">
        <v>-3000</v>
      </c>
      <c r="F1902">
        <v>18000</v>
      </c>
      <c r="G1902">
        <v>-15000</v>
      </c>
      <c r="H1902">
        <v>-15000</v>
      </c>
      <c r="I1902">
        <v>-15000</v>
      </c>
    </row>
    <row r="1903" spans="1:9" x14ac:dyDescent="0.3">
      <c r="A1903" s="48" t="s">
        <v>57</v>
      </c>
      <c r="C1903">
        <v>0</v>
      </c>
      <c r="D1903">
        <v>-7000</v>
      </c>
      <c r="E1903">
        <v>-4000</v>
      </c>
      <c r="F1903">
        <v>17000</v>
      </c>
      <c r="G1903">
        <v>-16000</v>
      </c>
      <c r="H1903">
        <v>-16000</v>
      </c>
      <c r="I1903">
        <v>-16000</v>
      </c>
    </row>
    <row r="1904" spans="1:9" x14ac:dyDescent="0.3">
      <c r="A1904" s="48" t="s">
        <v>58</v>
      </c>
      <c r="C1904">
        <v>1000</v>
      </c>
      <c r="D1904">
        <v>-8000</v>
      </c>
      <c r="E1904">
        <v>-5000</v>
      </c>
      <c r="F1904">
        <v>16000</v>
      </c>
      <c r="G1904">
        <v>-17000</v>
      </c>
      <c r="H1904">
        <v>-17000</v>
      </c>
      <c r="I1904">
        <v>-17000</v>
      </c>
    </row>
    <row r="1905" spans="1:9" x14ac:dyDescent="0.3">
      <c r="A1905" s="15" t="s">
        <v>48</v>
      </c>
    </row>
    <row r="1906" spans="1:9" x14ac:dyDescent="0.3">
      <c r="A1906" s="48" t="s">
        <v>35</v>
      </c>
      <c r="C1906">
        <v>-9000</v>
      </c>
      <c r="D1906">
        <v>3000</v>
      </c>
      <c r="E1906">
        <v>3000</v>
      </c>
      <c r="F1906">
        <v>24000</v>
      </c>
      <c r="G1906">
        <v>-9000</v>
      </c>
      <c r="H1906">
        <v>-9000</v>
      </c>
      <c r="I1906">
        <v>-9000</v>
      </c>
    </row>
    <row r="1907" spans="1:9" x14ac:dyDescent="0.3">
      <c r="A1907" s="48" t="s">
        <v>41</v>
      </c>
      <c r="C1907">
        <v>-8000</v>
      </c>
      <c r="D1907">
        <v>2000</v>
      </c>
      <c r="E1907">
        <v>2000</v>
      </c>
      <c r="F1907">
        <v>23000</v>
      </c>
      <c r="G1907">
        <v>-10000</v>
      </c>
      <c r="H1907">
        <v>-10000</v>
      </c>
      <c r="I1907">
        <v>-10000</v>
      </c>
    </row>
    <row r="1908" spans="1:9" x14ac:dyDescent="0.3">
      <c r="A1908" s="48" t="s">
        <v>42</v>
      </c>
      <c r="C1908">
        <v>-7000</v>
      </c>
      <c r="D1908">
        <v>1000</v>
      </c>
      <c r="E1908">
        <v>1000</v>
      </c>
      <c r="F1908">
        <v>22000</v>
      </c>
      <c r="G1908">
        <v>-11000</v>
      </c>
      <c r="H1908">
        <v>-11000</v>
      </c>
      <c r="I1908">
        <v>-11000</v>
      </c>
    </row>
    <row r="1909" spans="1:9" x14ac:dyDescent="0.3">
      <c r="A1909" s="48" t="s">
        <v>43</v>
      </c>
      <c r="C1909">
        <v>-6000</v>
      </c>
      <c r="D1909">
        <v>0</v>
      </c>
      <c r="E1909">
        <v>0</v>
      </c>
      <c r="F1909">
        <v>21000</v>
      </c>
      <c r="G1909">
        <v>-12000</v>
      </c>
      <c r="H1909">
        <v>-12000</v>
      </c>
      <c r="I1909">
        <v>-12000</v>
      </c>
    </row>
    <row r="1910" spans="1:9" x14ac:dyDescent="0.3">
      <c r="A1910" s="48" t="s">
        <v>44</v>
      </c>
      <c r="C1910">
        <v>-5000</v>
      </c>
      <c r="D1910">
        <v>-1000</v>
      </c>
      <c r="E1910">
        <v>-1000</v>
      </c>
      <c r="F1910">
        <v>20000</v>
      </c>
      <c r="G1910">
        <v>-13000</v>
      </c>
      <c r="H1910">
        <v>-13000</v>
      </c>
      <c r="I1910">
        <v>-13000</v>
      </c>
    </row>
    <row r="1911" spans="1:9" x14ac:dyDescent="0.3">
      <c r="A1911" s="48" t="s">
        <v>54</v>
      </c>
      <c r="C1911">
        <v>-4000</v>
      </c>
      <c r="D1911">
        <v>-2000</v>
      </c>
      <c r="E1911">
        <v>-2000</v>
      </c>
      <c r="F1911">
        <v>19000</v>
      </c>
      <c r="G1911">
        <v>-14000</v>
      </c>
      <c r="H1911">
        <v>-14000</v>
      </c>
      <c r="I1911">
        <v>-14000</v>
      </c>
    </row>
    <row r="1912" spans="1:9" x14ac:dyDescent="0.3">
      <c r="A1912" s="48" t="s">
        <v>55</v>
      </c>
      <c r="C1912">
        <v>-3000</v>
      </c>
      <c r="D1912">
        <v>-3000</v>
      </c>
      <c r="E1912">
        <v>-3000</v>
      </c>
      <c r="F1912">
        <v>18000</v>
      </c>
      <c r="G1912">
        <v>-15000</v>
      </c>
      <c r="H1912">
        <v>-15000</v>
      </c>
      <c r="I1912">
        <v>-15000</v>
      </c>
    </row>
    <row r="1913" spans="1:9" x14ac:dyDescent="0.3">
      <c r="A1913" s="48" t="s">
        <v>56</v>
      </c>
      <c r="C1913">
        <v>-2000</v>
      </c>
      <c r="D1913">
        <v>-4000</v>
      </c>
      <c r="E1913">
        <v>-4000</v>
      </c>
      <c r="F1913">
        <v>17000</v>
      </c>
      <c r="G1913">
        <v>-16000</v>
      </c>
      <c r="H1913">
        <v>-16000</v>
      </c>
      <c r="I1913">
        <v>-16000</v>
      </c>
    </row>
    <row r="1914" spans="1:9" x14ac:dyDescent="0.3">
      <c r="A1914" s="48" t="s">
        <v>57</v>
      </c>
      <c r="C1914">
        <v>-1000</v>
      </c>
      <c r="D1914">
        <v>-5000</v>
      </c>
      <c r="E1914">
        <v>-5000</v>
      </c>
      <c r="F1914">
        <v>16000</v>
      </c>
      <c r="G1914">
        <v>-17000</v>
      </c>
      <c r="H1914">
        <v>-17000</v>
      </c>
      <c r="I1914">
        <v>-17000</v>
      </c>
    </row>
    <row r="1915" spans="1:9" x14ac:dyDescent="0.3">
      <c r="A1915" s="48" t="s">
        <v>58</v>
      </c>
      <c r="C1915">
        <v>0</v>
      </c>
      <c r="D1915">
        <v>-6000</v>
      </c>
      <c r="E1915">
        <v>-6000</v>
      </c>
      <c r="F1915">
        <v>15000</v>
      </c>
      <c r="G1915">
        <v>-18000</v>
      </c>
      <c r="H1915">
        <v>-18000</v>
      </c>
      <c r="I1915">
        <v>-18000</v>
      </c>
    </row>
    <row r="1916" spans="1:9" x14ac:dyDescent="0.3">
      <c r="A1916" s="15" t="s">
        <v>59</v>
      </c>
    </row>
    <row r="1917" spans="1:9" x14ac:dyDescent="0.3">
      <c r="A1917" s="48" t="s">
        <v>35</v>
      </c>
      <c r="C1917">
        <v>-10000</v>
      </c>
      <c r="D1917">
        <v>5000</v>
      </c>
      <c r="E1917">
        <v>2000</v>
      </c>
      <c r="F1917">
        <v>23000</v>
      </c>
      <c r="G1917">
        <v>-10000</v>
      </c>
      <c r="H1917">
        <v>-10000</v>
      </c>
      <c r="I1917">
        <v>-10000</v>
      </c>
    </row>
    <row r="1918" spans="1:9" x14ac:dyDescent="0.3">
      <c r="A1918" s="48" t="s">
        <v>41</v>
      </c>
      <c r="C1918">
        <v>-9000</v>
      </c>
      <c r="D1918">
        <v>4000</v>
      </c>
      <c r="E1918">
        <v>1000</v>
      </c>
      <c r="F1918">
        <v>22000</v>
      </c>
      <c r="G1918">
        <v>-11000</v>
      </c>
      <c r="H1918">
        <v>-11000</v>
      </c>
      <c r="I1918">
        <v>-11000</v>
      </c>
    </row>
    <row r="1919" spans="1:9" x14ac:dyDescent="0.3">
      <c r="A1919" s="48" t="s">
        <v>42</v>
      </c>
      <c r="C1919">
        <v>-8000</v>
      </c>
      <c r="D1919">
        <v>3000</v>
      </c>
      <c r="E1919">
        <v>0</v>
      </c>
      <c r="F1919">
        <v>21000</v>
      </c>
      <c r="G1919">
        <v>-12000</v>
      </c>
      <c r="H1919">
        <v>-12000</v>
      </c>
      <c r="I1919">
        <v>-12000</v>
      </c>
    </row>
    <row r="1920" spans="1:9" x14ac:dyDescent="0.3">
      <c r="A1920" s="48" t="s">
        <v>43</v>
      </c>
      <c r="C1920">
        <v>-7000</v>
      </c>
      <c r="D1920">
        <v>2000</v>
      </c>
      <c r="E1920">
        <v>-1000</v>
      </c>
      <c r="F1920">
        <v>20000</v>
      </c>
      <c r="G1920">
        <v>-13000</v>
      </c>
      <c r="H1920">
        <v>-13000</v>
      </c>
      <c r="I1920">
        <v>-13000</v>
      </c>
    </row>
    <row r="1921" spans="1:9" x14ac:dyDescent="0.3">
      <c r="A1921" s="48" t="s">
        <v>44</v>
      </c>
      <c r="C1921">
        <v>-6000</v>
      </c>
      <c r="D1921">
        <v>1000</v>
      </c>
      <c r="E1921">
        <v>-2000</v>
      </c>
      <c r="F1921">
        <v>19000</v>
      </c>
      <c r="G1921">
        <v>-14000</v>
      </c>
      <c r="H1921">
        <v>-14000</v>
      </c>
      <c r="I1921">
        <v>-14000</v>
      </c>
    </row>
    <row r="1922" spans="1:9" x14ac:dyDescent="0.3">
      <c r="A1922" s="48" t="s">
        <v>54</v>
      </c>
      <c r="C1922">
        <v>-5000</v>
      </c>
      <c r="D1922">
        <v>0</v>
      </c>
      <c r="E1922">
        <v>-3000</v>
      </c>
      <c r="F1922">
        <v>18000</v>
      </c>
      <c r="G1922">
        <v>-15000</v>
      </c>
      <c r="H1922">
        <v>-15000</v>
      </c>
      <c r="I1922">
        <v>-15000</v>
      </c>
    </row>
    <row r="1923" spans="1:9" x14ac:dyDescent="0.3">
      <c r="A1923" s="48" t="s">
        <v>55</v>
      </c>
      <c r="C1923">
        <v>-4000</v>
      </c>
      <c r="D1923">
        <v>-1000</v>
      </c>
      <c r="E1923">
        <v>-4000</v>
      </c>
      <c r="F1923">
        <v>17000</v>
      </c>
      <c r="G1923">
        <v>-16000</v>
      </c>
      <c r="H1923">
        <v>-16000</v>
      </c>
      <c r="I1923">
        <v>-16000</v>
      </c>
    </row>
    <row r="1924" spans="1:9" x14ac:dyDescent="0.3">
      <c r="A1924" s="48" t="s">
        <v>56</v>
      </c>
      <c r="C1924">
        <v>-3000</v>
      </c>
      <c r="D1924">
        <v>-2000</v>
      </c>
      <c r="E1924">
        <v>-5000</v>
      </c>
      <c r="F1924">
        <v>16000</v>
      </c>
      <c r="G1924">
        <v>-17000</v>
      </c>
      <c r="H1924">
        <v>-17000</v>
      </c>
      <c r="I1924">
        <v>-17000</v>
      </c>
    </row>
    <row r="1925" spans="1:9" x14ac:dyDescent="0.3">
      <c r="A1925" s="48" t="s">
        <v>57</v>
      </c>
      <c r="C1925">
        <v>-2000</v>
      </c>
      <c r="D1925">
        <v>-3000</v>
      </c>
      <c r="E1925">
        <v>-6000</v>
      </c>
      <c r="F1925">
        <v>15000</v>
      </c>
      <c r="G1925">
        <v>-18000</v>
      </c>
      <c r="H1925">
        <v>-18000</v>
      </c>
      <c r="I1925">
        <v>-18000</v>
      </c>
    </row>
    <row r="1926" spans="1:9" x14ac:dyDescent="0.3">
      <c r="A1926" s="48" t="s">
        <v>58</v>
      </c>
      <c r="C1926">
        <v>-1000</v>
      </c>
      <c r="D1926">
        <v>-4000</v>
      </c>
      <c r="E1926">
        <v>-7000</v>
      </c>
      <c r="F1926">
        <v>14000</v>
      </c>
      <c r="G1926">
        <v>-19000</v>
      </c>
      <c r="H1926">
        <v>-19000</v>
      </c>
      <c r="I1926">
        <v>-19000</v>
      </c>
    </row>
    <row r="1927" spans="1:9" x14ac:dyDescent="0.3">
      <c r="A1927" s="15" t="s">
        <v>60</v>
      </c>
    </row>
    <row r="1928" spans="1:9" x14ac:dyDescent="0.3">
      <c r="A1928" s="48" t="s">
        <v>35</v>
      </c>
      <c r="C1928">
        <v>-11000</v>
      </c>
      <c r="D1928">
        <v>7000</v>
      </c>
      <c r="E1928">
        <v>1000</v>
      </c>
      <c r="F1928">
        <v>22000</v>
      </c>
      <c r="G1928">
        <v>-11000</v>
      </c>
      <c r="H1928">
        <v>-11000</v>
      </c>
      <c r="I1928">
        <v>-11000</v>
      </c>
    </row>
    <row r="1929" spans="1:9" x14ac:dyDescent="0.3">
      <c r="A1929" s="48" t="s">
        <v>41</v>
      </c>
      <c r="C1929">
        <v>-10000</v>
      </c>
      <c r="D1929">
        <v>6000</v>
      </c>
      <c r="E1929">
        <v>0</v>
      </c>
      <c r="F1929">
        <v>21000</v>
      </c>
      <c r="G1929">
        <v>-12000</v>
      </c>
      <c r="H1929">
        <v>-12000</v>
      </c>
      <c r="I1929">
        <v>-12000</v>
      </c>
    </row>
    <row r="1930" spans="1:9" x14ac:dyDescent="0.3">
      <c r="A1930" s="48" t="s">
        <v>42</v>
      </c>
      <c r="C1930">
        <v>-9000</v>
      </c>
      <c r="D1930">
        <v>5000</v>
      </c>
      <c r="E1930">
        <v>-1000</v>
      </c>
      <c r="F1930">
        <v>20000</v>
      </c>
      <c r="G1930">
        <v>-13000</v>
      </c>
      <c r="H1930">
        <v>-13000</v>
      </c>
      <c r="I1930">
        <v>-13000</v>
      </c>
    </row>
    <row r="1931" spans="1:9" x14ac:dyDescent="0.3">
      <c r="A1931" s="48" t="s">
        <v>43</v>
      </c>
      <c r="C1931">
        <v>-8000</v>
      </c>
      <c r="D1931">
        <v>4000</v>
      </c>
      <c r="E1931">
        <v>-2000</v>
      </c>
      <c r="F1931">
        <v>19000</v>
      </c>
      <c r="G1931">
        <v>-14000</v>
      </c>
      <c r="H1931">
        <v>-14000</v>
      </c>
      <c r="I1931">
        <v>-14000</v>
      </c>
    </row>
    <row r="1932" spans="1:9" x14ac:dyDescent="0.3">
      <c r="A1932" s="48" t="s">
        <v>44</v>
      </c>
      <c r="C1932">
        <v>-7000</v>
      </c>
      <c r="D1932">
        <v>3000</v>
      </c>
      <c r="E1932">
        <v>-3000</v>
      </c>
      <c r="F1932">
        <v>18000</v>
      </c>
      <c r="G1932">
        <v>-15000</v>
      </c>
      <c r="H1932">
        <v>-15000</v>
      </c>
      <c r="I1932">
        <v>-15000</v>
      </c>
    </row>
    <row r="1933" spans="1:9" x14ac:dyDescent="0.3">
      <c r="A1933" s="48" t="s">
        <v>54</v>
      </c>
      <c r="C1933">
        <v>-6000</v>
      </c>
      <c r="D1933">
        <v>2000</v>
      </c>
      <c r="E1933">
        <v>-4000</v>
      </c>
      <c r="F1933">
        <v>17000</v>
      </c>
      <c r="G1933">
        <v>-16000</v>
      </c>
      <c r="H1933">
        <v>-16000</v>
      </c>
      <c r="I1933">
        <v>-16000</v>
      </c>
    </row>
    <row r="1934" spans="1:9" x14ac:dyDescent="0.3">
      <c r="A1934" s="48" t="s">
        <v>55</v>
      </c>
      <c r="C1934">
        <v>-5000</v>
      </c>
      <c r="D1934">
        <v>1000</v>
      </c>
      <c r="E1934">
        <v>-5000</v>
      </c>
      <c r="F1934">
        <v>16000</v>
      </c>
      <c r="G1934">
        <v>-17000</v>
      </c>
      <c r="H1934">
        <v>-17000</v>
      </c>
      <c r="I1934">
        <v>-17000</v>
      </c>
    </row>
    <row r="1935" spans="1:9" x14ac:dyDescent="0.3">
      <c r="A1935" s="48" t="s">
        <v>56</v>
      </c>
      <c r="C1935">
        <v>-4000</v>
      </c>
      <c r="D1935">
        <v>0</v>
      </c>
      <c r="E1935">
        <v>-6000</v>
      </c>
      <c r="F1935">
        <v>15000</v>
      </c>
      <c r="G1935">
        <v>-18000</v>
      </c>
      <c r="H1935">
        <v>-18000</v>
      </c>
      <c r="I1935">
        <v>-18000</v>
      </c>
    </row>
    <row r="1936" spans="1:9" x14ac:dyDescent="0.3">
      <c r="A1936" s="48" t="s">
        <v>57</v>
      </c>
      <c r="C1936">
        <v>-3000</v>
      </c>
      <c r="D1936">
        <v>-1000</v>
      </c>
      <c r="E1936">
        <v>-7000</v>
      </c>
      <c r="F1936">
        <v>14000</v>
      </c>
      <c r="G1936">
        <v>-19000</v>
      </c>
      <c r="H1936">
        <v>-19000</v>
      </c>
      <c r="I1936">
        <v>-19000</v>
      </c>
    </row>
    <row r="1937" spans="1:9" x14ac:dyDescent="0.3">
      <c r="A1937" s="48" t="s">
        <v>58</v>
      </c>
      <c r="C1937">
        <v>-2000</v>
      </c>
      <c r="D1937">
        <v>-2000</v>
      </c>
      <c r="E1937">
        <v>-8000</v>
      </c>
      <c r="F1937">
        <v>13000</v>
      </c>
      <c r="G1937">
        <v>-20000</v>
      </c>
      <c r="H1937">
        <v>-20000</v>
      </c>
      <c r="I1937">
        <v>-20000</v>
      </c>
    </row>
    <row r="1938" spans="1:9" x14ac:dyDescent="0.3">
      <c r="A1938" s="15" t="s">
        <v>61</v>
      </c>
    </row>
    <row r="1939" spans="1:9" x14ac:dyDescent="0.3">
      <c r="A1939" s="48" t="s">
        <v>35</v>
      </c>
      <c r="C1939">
        <v>-12000</v>
      </c>
      <c r="D1939">
        <v>9000</v>
      </c>
      <c r="E1939">
        <v>0</v>
      </c>
      <c r="F1939">
        <v>21000</v>
      </c>
      <c r="G1939">
        <v>-12000</v>
      </c>
      <c r="H1939">
        <v>-12000</v>
      </c>
      <c r="I1939">
        <v>-12000</v>
      </c>
    </row>
    <row r="1940" spans="1:9" x14ac:dyDescent="0.3">
      <c r="A1940" s="48" t="s">
        <v>41</v>
      </c>
      <c r="C1940">
        <v>-11000</v>
      </c>
      <c r="D1940">
        <v>8000</v>
      </c>
      <c r="E1940">
        <v>-1000</v>
      </c>
      <c r="F1940">
        <v>20000</v>
      </c>
      <c r="G1940">
        <v>-13000</v>
      </c>
      <c r="H1940">
        <v>-13000</v>
      </c>
      <c r="I1940">
        <v>-13000</v>
      </c>
    </row>
    <row r="1941" spans="1:9" x14ac:dyDescent="0.3">
      <c r="A1941" s="48" t="s">
        <v>42</v>
      </c>
      <c r="C1941">
        <v>-10000</v>
      </c>
      <c r="D1941">
        <v>7000</v>
      </c>
      <c r="E1941">
        <v>-2000</v>
      </c>
      <c r="F1941">
        <v>19000</v>
      </c>
      <c r="G1941">
        <v>-14000</v>
      </c>
      <c r="H1941">
        <v>-14000</v>
      </c>
      <c r="I1941">
        <v>-14000</v>
      </c>
    </row>
    <row r="1942" spans="1:9" x14ac:dyDescent="0.3">
      <c r="A1942" s="48" t="s">
        <v>43</v>
      </c>
      <c r="C1942">
        <v>-9000</v>
      </c>
      <c r="D1942">
        <v>6000</v>
      </c>
      <c r="E1942">
        <v>-3000</v>
      </c>
      <c r="F1942">
        <v>18000</v>
      </c>
      <c r="G1942">
        <v>-15000</v>
      </c>
      <c r="H1942">
        <v>-15000</v>
      </c>
      <c r="I1942">
        <v>-15000</v>
      </c>
    </row>
    <row r="1943" spans="1:9" x14ac:dyDescent="0.3">
      <c r="A1943" s="48" t="s">
        <v>44</v>
      </c>
      <c r="C1943">
        <v>-8000</v>
      </c>
      <c r="D1943">
        <v>5000</v>
      </c>
      <c r="E1943">
        <v>-4000</v>
      </c>
      <c r="F1943">
        <v>17000</v>
      </c>
      <c r="G1943">
        <v>-16000</v>
      </c>
      <c r="H1943">
        <v>-16000</v>
      </c>
      <c r="I1943">
        <v>-16000</v>
      </c>
    </row>
    <row r="1944" spans="1:9" x14ac:dyDescent="0.3">
      <c r="A1944" s="48" t="s">
        <v>54</v>
      </c>
      <c r="C1944">
        <v>-7000</v>
      </c>
      <c r="D1944">
        <v>4000</v>
      </c>
      <c r="E1944">
        <v>-5000</v>
      </c>
      <c r="F1944">
        <v>16000</v>
      </c>
      <c r="G1944">
        <v>-17000</v>
      </c>
      <c r="H1944">
        <v>-17000</v>
      </c>
      <c r="I1944">
        <v>-17000</v>
      </c>
    </row>
    <row r="1945" spans="1:9" x14ac:dyDescent="0.3">
      <c r="A1945" s="48" t="s">
        <v>55</v>
      </c>
      <c r="C1945">
        <v>-6000</v>
      </c>
      <c r="D1945">
        <v>3000</v>
      </c>
      <c r="E1945">
        <v>-6000</v>
      </c>
      <c r="F1945">
        <v>15000</v>
      </c>
      <c r="G1945">
        <v>-18000</v>
      </c>
      <c r="H1945">
        <v>-18000</v>
      </c>
      <c r="I1945">
        <v>-18000</v>
      </c>
    </row>
    <row r="1946" spans="1:9" x14ac:dyDescent="0.3">
      <c r="A1946" s="48" t="s">
        <v>56</v>
      </c>
      <c r="C1946">
        <v>-5000</v>
      </c>
      <c r="D1946">
        <v>2000</v>
      </c>
      <c r="E1946">
        <v>-7000</v>
      </c>
      <c r="F1946">
        <v>14000</v>
      </c>
      <c r="G1946">
        <v>-19000</v>
      </c>
      <c r="H1946">
        <v>-19000</v>
      </c>
      <c r="I1946">
        <v>-19000</v>
      </c>
    </row>
    <row r="1947" spans="1:9" x14ac:dyDescent="0.3">
      <c r="A1947" s="48" t="s">
        <v>57</v>
      </c>
      <c r="C1947">
        <v>-4000</v>
      </c>
      <c r="D1947">
        <v>1000</v>
      </c>
      <c r="E1947">
        <v>-8000</v>
      </c>
      <c r="F1947">
        <v>13000</v>
      </c>
      <c r="G1947">
        <v>-20000</v>
      </c>
      <c r="H1947">
        <v>-20000</v>
      </c>
      <c r="I1947">
        <v>-20000</v>
      </c>
    </row>
    <row r="1948" spans="1:9" x14ac:dyDescent="0.3">
      <c r="A1948" s="48" t="s">
        <v>58</v>
      </c>
      <c r="C1948">
        <v>-3000</v>
      </c>
      <c r="D1948">
        <v>0</v>
      </c>
      <c r="E1948">
        <v>-9000</v>
      </c>
      <c r="F1948">
        <v>12000</v>
      </c>
      <c r="G1948">
        <v>-21000</v>
      </c>
      <c r="H1948">
        <v>-21000</v>
      </c>
      <c r="I1948">
        <v>-21000</v>
      </c>
    </row>
    <row r="1949" spans="1:9" x14ac:dyDescent="0.3">
      <c r="A1949" s="15" t="s">
        <v>62</v>
      </c>
    </row>
    <row r="1950" spans="1:9" x14ac:dyDescent="0.3">
      <c r="A1950" s="48" t="s">
        <v>35</v>
      </c>
      <c r="C1950">
        <v>-13000</v>
      </c>
      <c r="D1950">
        <v>11000</v>
      </c>
      <c r="E1950">
        <v>-1000</v>
      </c>
      <c r="F1950">
        <v>20000</v>
      </c>
      <c r="G1950">
        <v>-13000</v>
      </c>
      <c r="H1950">
        <v>-13000</v>
      </c>
      <c r="I1950">
        <v>-13000</v>
      </c>
    </row>
    <row r="1951" spans="1:9" x14ac:dyDescent="0.3">
      <c r="A1951" s="48" t="s">
        <v>41</v>
      </c>
      <c r="C1951">
        <v>-12000</v>
      </c>
      <c r="D1951">
        <v>10000</v>
      </c>
      <c r="E1951">
        <v>-2000</v>
      </c>
      <c r="F1951">
        <v>19000</v>
      </c>
      <c r="G1951">
        <v>-14000</v>
      </c>
      <c r="H1951">
        <v>-14000</v>
      </c>
      <c r="I1951">
        <v>-14000</v>
      </c>
    </row>
    <row r="1952" spans="1:9" x14ac:dyDescent="0.3">
      <c r="A1952" s="48" t="s">
        <v>42</v>
      </c>
      <c r="C1952">
        <v>-11000</v>
      </c>
      <c r="D1952">
        <v>9000</v>
      </c>
      <c r="E1952">
        <v>-3000</v>
      </c>
      <c r="F1952">
        <v>18000</v>
      </c>
      <c r="G1952">
        <v>-15000</v>
      </c>
      <c r="H1952">
        <v>-15000</v>
      </c>
      <c r="I1952">
        <v>-15000</v>
      </c>
    </row>
    <row r="1953" spans="1:9" x14ac:dyDescent="0.3">
      <c r="A1953" s="48" t="s">
        <v>43</v>
      </c>
      <c r="C1953">
        <v>-10000</v>
      </c>
      <c r="D1953">
        <v>8000</v>
      </c>
      <c r="E1953">
        <v>-4000</v>
      </c>
      <c r="F1953">
        <v>17000</v>
      </c>
      <c r="G1953">
        <v>-16000</v>
      </c>
      <c r="H1953">
        <v>-16000</v>
      </c>
      <c r="I1953">
        <v>-16000</v>
      </c>
    </row>
    <row r="1954" spans="1:9" x14ac:dyDescent="0.3">
      <c r="A1954" s="48" t="s">
        <v>44</v>
      </c>
      <c r="C1954">
        <v>-9000</v>
      </c>
      <c r="D1954">
        <v>7000</v>
      </c>
      <c r="E1954">
        <v>-5000</v>
      </c>
      <c r="F1954">
        <v>16000</v>
      </c>
      <c r="G1954">
        <v>-17000</v>
      </c>
      <c r="H1954">
        <v>-17000</v>
      </c>
      <c r="I1954">
        <v>-17000</v>
      </c>
    </row>
    <row r="1955" spans="1:9" x14ac:dyDescent="0.3">
      <c r="A1955" s="48" t="s">
        <v>54</v>
      </c>
      <c r="C1955">
        <v>-8000</v>
      </c>
      <c r="D1955">
        <v>6000</v>
      </c>
      <c r="E1955">
        <v>-6000</v>
      </c>
      <c r="F1955">
        <v>15000</v>
      </c>
      <c r="G1955">
        <v>-18000</v>
      </c>
      <c r="H1955">
        <v>-18000</v>
      </c>
      <c r="I1955">
        <v>-18000</v>
      </c>
    </row>
    <row r="1956" spans="1:9" x14ac:dyDescent="0.3">
      <c r="A1956" s="48" t="s">
        <v>55</v>
      </c>
      <c r="C1956">
        <v>-7000</v>
      </c>
      <c r="D1956">
        <v>5000</v>
      </c>
      <c r="E1956">
        <v>-7000</v>
      </c>
      <c r="F1956">
        <v>14000</v>
      </c>
      <c r="G1956">
        <v>-19000</v>
      </c>
      <c r="H1956">
        <v>-19000</v>
      </c>
      <c r="I1956">
        <v>-19000</v>
      </c>
    </row>
    <row r="1957" spans="1:9" x14ac:dyDescent="0.3">
      <c r="A1957" s="48" t="s">
        <v>56</v>
      </c>
      <c r="C1957">
        <v>-6000</v>
      </c>
      <c r="D1957">
        <v>4000</v>
      </c>
      <c r="E1957">
        <v>-8000</v>
      </c>
      <c r="F1957">
        <v>13000</v>
      </c>
      <c r="G1957">
        <v>-20000</v>
      </c>
      <c r="H1957">
        <v>-20000</v>
      </c>
      <c r="I1957">
        <v>-20000</v>
      </c>
    </row>
    <row r="1958" spans="1:9" x14ac:dyDescent="0.3">
      <c r="A1958" s="48" t="s">
        <v>57</v>
      </c>
      <c r="C1958">
        <v>-5000</v>
      </c>
      <c r="D1958">
        <v>3000</v>
      </c>
      <c r="E1958">
        <v>-9000</v>
      </c>
      <c r="F1958">
        <v>12000</v>
      </c>
      <c r="G1958">
        <v>-21000</v>
      </c>
      <c r="H1958">
        <v>-21000</v>
      </c>
      <c r="I1958">
        <v>-21000</v>
      </c>
    </row>
    <row r="1959" spans="1:9" x14ac:dyDescent="0.3">
      <c r="A1959" s="48" t="s">
        <v>58</v>
      </c>
      <c r="C1959">
        <v>-4000</v>
      </c>
      <c r="D1959">
        <v>2000</v>
      </c>
      <c r="E1959">
        <v>-10000</v>
      </c>
      <c r="F1959">
        <v>11000</v>
      </c>
      <c r="G1959">
        <v>-22000</v>
      </c>
      <c r="H1959">
        <v>-22000</v>
      </c>
      <c r="I1959">
        <v>-22000</v>
      </c>
    </row>
    <row r="1960" spans="1:9" x14ac:dyDescent="0.3">
      <c r="A1960" s="15" t="s">
        <v>63</v>
      </c>
    </row>
    <row r="1961" spans="1:9" x14ac:dyDescent="0.3">
      <c r="A1961" s="48" t="s">
        <v>35</v>
      </c>
      <c r="C1961">
        <v>-14000</v>
      </c>
      <c r="D1961">
        <v>13000</v>
      </c>
      <c r="E1961">
        <v>-2000</v>
      </c>
      <c r="F1961">
        <v>19000</v>
      </c>
      <c r="G1961">
        <v>-14000</v>
      </c>
      <c r="H1961">
        <v>-14000</v>
      </c>
      <c r="I1961">
        <v>-14000</v>
      </c>
    </row>
    <row r="1962" spans="1:9" x14ac:dyDescent="0.3">
      <c r="A1962" s="48" t="s">
        <v>41</v>
      </c>
      <c r="C1962">
        <v>-13000</v>
      </c>
      <c r="D1962">
        <v>12000</v>
      </c>
      <c r="E1962">
        <v>-3000</v>
      </c>
      <c r="F1962">
        <v>18000</v>
      </c>
      <c r="G1962">
        <v>-15000</v>
      </c>
      <c r="H1962">
        <v>-15000</v>
      </c>
      <c r="I1962">
        <v>-15000</v>
      </c>
    </row>
    <row r="1963" spans="1:9" x14ac:dyDescent="0.3">
      <c r="A1963" s="48" t="s">
        <v>42</v>
      </c>
      <c r="C1963">
        <v>-12000</v>
      </c>
      <c r="D1963">
        <v>11000</v>
      </c>
      <c r="E1963">
        <v>-4000</v>
      </c>
      <c r="F1963">
        <v>17000</v>
      </c>
      <c r="G1963">
        <v>-16000</v>
      </c>
      <c r="H1963">
        <v>-16000</v>
      </c>
      <c r="I1963">
        <v>-16000</v>
      </c>
    </row>
    <row r="1964" spans="1:9" x14ac:dyDescent="0.3">
      <c r="A1964" s="48" t="s">
        <v>43</v>
      </c>
      <c r="C1964">
        <v>-11000</v>
      </c>
      <c r="D1964">
        <v>10000</v>
      </c>
      <c r="E1964">
        <v>-5000</v>
      </c>
      <c r="F1964">
        <v>16000</v>
      </c>
      <c r="G1964">
        <v>-17000</v>
      </c>
      <c r="H1964">
        <v>-17000</v>
      </c>
      <c r="I1964">
        <v>-17000</v>
      </c>
    </row>
    <row r="1965" spans="1:9" x14ac:dyDescent="0.3">
      <c r="A1965" s="48" t="s">
        <v>44</v>
      </c>
      <c r="C1965">
        <v>-10000</v>
      </c>
      <c r="D1965">
        <v>9000</v>
      </c>
      <c r="E1965">
        <v>-6000</v>
      </c>
      <c r="F1965">
        <v>15000</v>
      </c>
      <c r="G1965">
        <v>-18000</v>
      </c>
      <c r="H1965">
        <v>-18000</v>
      </c>
      <c r="I1965">
        <v>-18000</v>
      </c>
    </row>
    <row r="1966" spans="1:9" x14ac:dyDescent="0.3">
      <c r="A1966" s="48" t="s">
        <v>54</v>
      </c>
      <c r="C1966">
        <v>-9000</v>
      </c>
      <c r="D1966">
        <v>8000</v>
      </c>
      <c r="E1966">
        <v>-7000</v>
      </c>
      <c r="F1966">
        <v>14000</v>
      </c>
      <c r="G1966">
        <v>-19000</v>
      </c>
      <c r="H1966">
        <v>-19000</v>
      </c>
      <c r="I1966">
        <v>-19000</v>
      </c>
    </row>
    <row r="1967" spans="1:9" x14ac:dyDescent="0.3">
      <c r="A1967" s="48" t="s">
        <v>55</v>
      </c>
      <c r="C1967">
        <v>-8000</v>
      </c>
      <c r="D1967">
        <v>7000</v>
      </c>
      <c r="E1967">
        <v>-8000</v>
      </c>
      <c r="F1967">
        <v>13000</v>
      </c>
      <c r="G1967">
        <v>-20000</v>
      </c>
      <c r="H1967">
        <v>-20000</v>
      </c>
      <c r="I1967">
        <v>-20000</v>
      </c>
    </row>
    <row r="1968" spans="1:9" x14ac:dyDescent="0.3">
      <c r="A1968" s="48" t="s">
        <v>56</v>
      </c>
      <c r="C1968">
        <v>-7000</v>
      </c>
      <c r="D1968">
        <v>6000</v>
      </c>
      <c r="E1968">
        <v>-9000</v>
      </c>
      <c r="F1968">
        <v>12000</v>
      </c>
      <c r="G1968">
        <v>-21000</v>
      </c>
      <c r="H1968">
        <v>-21000</v>
      </c>
      <c r="I1968">
        <v>-21000</v>
      </c>
    </row>
    <row r="1969" spans="1:9" x14ac:dyDescent="0.3">
      <c r="A1969" s="48" t="s">
        <v>57</v>
      </c>
      <c r="C1969">
        <v>-6000</v>
      </c>
      <c r="D1969">
        <v>5000</v>
      </c>
      <c r="E1969">
        <v>-10000</v>
      </c>
      <c r="F1969">
        <v>11000</v>
      </c>
      <c r="G1969">
        <v>-22000</v>
      </c>
      <c r="H1969">
        <v>-22000</v>
      </c>
      <c r="I1969">
        <v>-22000</v>
      </c>
    </row>
    <row r="1970" spans="1:9" x14ac:dyDescent="0.3">
      <c r="A1970" s="48" t="s">
        <v>58</v>
      </c>
      <c r="C1970">
        <v>-5000</v>
      </c>
      <c r="D1970">
        <v>4000</v>
      </c>
      <c r="E1970">
        <v>-11000</v>
      </c>
      <c r="F1970">
        <v>10000</v>
      </c>
      <c r="G1970">
        <v>-23000</v>
      </c>
      <c r="H1970">
        <v>-23000</v>
      </c>
      <c r="I1970">
        <v>-23000</v>
      </c>
    </row>
    <row r="1971" spans="1:9" x14ac:dyDescent="0.3">
      <c r="A1971" s="14" t="s">
        <v>51</v>
      </c>
    </row>
    <row r="1972" spans="1:9" x14ac:dyDescent="0.3">
      <c r="A1972" s="15" t="s">
        <v>34</v>
      </c>
    </row>
    <row r="1973" spans="1:9" x14ac:dyDescent="0.3">
      <c r="A1973" s="48" t="s">
        <v>35</v>
      </c>
      <c r="C1973">
        <v>-6000</v>
      </c>
      <c r="D1973">
        <v>-6000</v>
      </c>
      <c r="E1973">
        <v>12000</v>
      </c>
      <c r="F1973">
        <v>27000</v>
      </c>
      <c r="G1973">
        <v>-6000</v>
      </c>
      <c r="H1973">
        <v>-6000</v>
      </c>
      <c r="I1973">
        <v>-6000</v>
      </c>
    </row>
    <row r="1974" spans="1:9" x14ac:dyDescent="0.3">
      <c r="A1974" s="48" t="s">
        <v>41</v>
      </c>
      <c r="C1974">
        <v>-5000</v>
      </c>
      <c r="D1974">
        <v>-7000</v>
      </c>
      <c r="E1974">
        <v>11000</v>
      </c>
      <c r="F1974">
        <v>26000</v>
      </c>
      <c r="G1974">
        <v>-7000</v>
      </c>
      <c r="H1974">
        <v>-7000</v>
      </c>
      <c r="I1974">
        <v>-7000</v>
      </c>
    </row>
    <row r="1975" spans="1:9" x14ac:dyDescent="0.3">
      <c r="A1975" s="48" t="s">
        <v>42</v>
      </c>
      <c r="C1975">
        <v>-4000</v>
      </c>
      <c r="D1975">
        <v>-8000</v>
      </c>
      <c r="E1975">
        <v>10000</v>
      </c>
      <c r="F1975">
        <v>25000</v>
      </c>
      <c r="G1975">
        <v>-8000</v>
      </c>
      <c r="H1975">
        <v>-8000</v>
      </c>
      <c r="I1975">
        <v>-8000</v>
      </c>
    </row>
    <row r="1976" spans="1:9" x14ac:dyDescent="0.3">
      <c r="A1976" s="48" t="s">
        <v>43</v>
      </c>
      <c r="C1976">
        <v>-3000</v>
      </c>
      <c r="D1976">
        <v>-9000</v>
      </c>
      <c r="E1976">
        <v>9000</v>
      </c>
      <c r="F1976">
        <v>24000</v>
      </c>
      <c r="G1976">
        <v>-9000</v>
      </c>
      <c r="H1976">
        <v>-9000</v>
      </c>
      <c r="I1976">
        <v>-9000</v>
      </c>
    </row>
    <row r="1977" spans="1:9" x14ac:dyDescent="0.3">
      <c r="A1977" s="48" t="s">
        <v>44</v>
      </c>
      <c r="C1977">
        <v>-2000</v>
      </c>
      <c r="D1977">
        <v>-10000</v>
      </c>
      <c r="E1977">
        <v>8000</v>
      </c>
      <c r="F1977">
        <v>23000</v>
      </c>
      <c r="G1977">
        <v>-10000</v>
      </c>
      <c r="H1977">
        <v>-10000</v>
      </c>
      <c r="I1977">
        <v>-10000</v>
      </c>
    </row>
    <row r="1978" spans="1:9" x14ac:dyDescent="0.3">
      <c r="A1978" s="48" t="s">
        <v>54</v>
      </c>
      <c r="C1978">
        <v>-1000</v>
      </c>
      <c r="D1978">
        <v>-11000</v>
      </c>
      <c r="E1978">
        <v>7000</v>
      </c>
      <c r="F1978">
        <v>22000</v>
      </c>
      <c r="G1978">
        <v>-11000</v>
      </c>
      <c r="H1978">
        <v>-11000</v>
      </c>
      <c r="I1978">
        <v>-11000</v>
      </c>
    </row>
    <row r="1979" spans="1:9" x14ac:dyDescent="0.3">
      <c r="A1979" s="48" t="s">
        <v>55</v>
      </c>
      <c r="C1979">
        <v>0</v>
      </c>
      <c r="D1979">
        <v>-12000</v>
      </c>
      <c r="E1979">
        <v>6000</v>
      </c>
      <c r="F1979">
        <v>21000</v>
      </c>
      <c r="G1979">
        <v>-12000</v>
      </c>
      <c r="H1979">
        <v>-12000</v>
      </c>
      <c r="I1979">
        <v>-12000</v>
      </c>
    </row>
    <row r="1980" spans="1:9" x14ac:dyDescent="0.3">
      <c r="A1980" s="48" t="s">
        <v>56</v>
      </c>
      <c r="C1980">
        <v>1000</v>
      </c>
      <c r="D1980">
        <v>-13000</v>
      </c>
      <c r="E1980">
        <v>5000</v>
      </c>
      <c r="F1980">
        <v>20000</v>
      </c>
      <c r="G1980">
        <v>-13000</v>
      </c>
      <c r="H1980">
        <v>-13000</v>
      </c>
      <c r="I1980">
        <v>-13000</v>
      </c>
    </row>
    <row r="1981" spans="1:9" x14ac:dyDescent="0.3">
      <c r="A1981" s="48" t="s">
        <v>57</v>
      </c>
      <c r="C1981">
        <v>2000</v>
      </c>
      <c r="D1981">
        <v>-14000</v>
      </c>
      <c r="E1981">
        <v>4000</v>
      </c>
      <c r="F1981">
        <v>19000</v>
      </c>
      <c r="G1981">
        <v>-14000</v>
      </c>
      <c r="H1981">
        <v>-14000</v>
      </c>
      <c r="I1981">
        <v>-14000</v>
      </c>
    </row>
    <row r="1982" spans="1:9" x14ac:dyDescent="0.3">
      <c r="A1982" s="48" t="s">
        <v>58</v>
      </c>
      <c r="C1982">
        <v>3000</v>
      </c>
      <c r="D1982">
        <v>-15000</v>
      </c>
      <c r="E1982">
        <v>3000</v>
      </c>
      <c r="F1982">
        <v>18000</v>
      </c>
      <c r="G1982">
        <v>-15000</v>
      </c>
      <c r="H1982">
        <v>-15000</v>
      </c>
      <c r="I1982">
        <v>-15000</v>
      </c>
    </row>
    <row r="1983" spans="1:9" x14ac:dyDescent="0.3">
      <c r="A1983" s="15" t="s">
        <v>45</v>
      </c>
    </row>
    <row r="1984" spans="1:9" x14ac:dyDescent="0.3">
      <c r="A1984" s="48" t="s">
        <v>35</v>
      </c>
      <c r="C1984">
        <v>-7000</v>
      </c>
      <c r="D1984">
        <v>-4000</v>
      </c>
      <c r="E1984">
        <v>11000</v>
      </c>
      <c r="F1984">
        <v>26000</v>
      </c>
      <c r="G1984">
        <v>-7000</v>
      </c>
      <c r="H1984">
        <v>-7000</v>
      </c>
      <c r="I1984">
        <v>-7000</v>
      </c>
    </row>
    <row r="1985" spans="1:9" x14ac:dyDescent="0.3">
      <c r="A1985" s="48" t="s">
        <v>41</v>
      </c>
      <c r="C1985">
        <v>-6000</v>
      </c>
      <c r="D1985">
        <v>-5000</v>
      </c>
      <c r="E1985">
        <v>10000</v>
      </c>
      <c r="F1985">
        <v>25000</v>
      </c>
      <c r="G1985">
        <v>-8000</v>
      </c>
      <c r="H1985">
        <v>-8000</v>
      </c>
      <c r="I1985">
        <v>-8000</v>
      </c>
    </row>
    <row r="1986" spans="1:9" x14ac:dyDescent="0.3">
      <c r="A1986" s="48" t="s">
        <v>42</v>
      </c>
      <c r="C1986">
        <v>-5000</v>
      </c>
      <c r="D1986">
        <v>-6000</v>
      </c>
      <c r="E1986">
        <v>9000</v>
      </c>
      <c r="F1986">
        <v>24000</v>
      </c>
      <c r="G1986">
        <v>-9000</v>
      </c>
      <c r="H1986">
        <v>-9000</v>
      </c>
      <c r="I1986">
        <v>-9000</v>
      </c>
    </row>
    <row r="1987" spans="1:9" x14ac:dyDescent="0.3">
      <c r="A1987" s="48" t="s">
        <v>43</v>
      </c>
      <c r="C1987">
        <v>-4000</v>
      </c>
      <c r="D1987">
        <v>-7000</v>
      </c>
      <c r="E1987">
        <v>8000</v>
      </c>
      <c r="F1987">
        <v>23000</v>
      </c>
      <c r="G1987">
        <v>-10000</v>
      </c>
      <c r="H1987">
        <v>-10000</v>
      </c>
      <c r="I1987">
        <v>-10000</v>
      </c>
    </row>
    <row r="1988" spans="1:9" x14ac:dyDescent="0.3">
      <c r="A1988" s="48" t="s">
        <v>44</v>
      </c>
      <c r="C1988">
        <v>-3000</v>
      </c>
      <c r="D1988">
        <v>-8000</v>
      </c>
      <c r="E1988">
        <v>7000</v>
      </c>
      <c r="F1988">
        <v>22000</v>
      </c>
      <c r="G1988">
        <v>-11000</v>
      </c>
      <c r="H1988">
        <v>-11000</v>
      </c>
      <c r="I1988">
        <v>-11000</v>
      </c>
    </row>
    <row r="1989" spans="1:9" x14ac:dyDescent="0.3">
      <c r="A1989" s="48" t="s">
        <v>54</v>
      </c>
      <c r="C1989">
        <v>-2000</v>
      </c>
      <c r="D1989">
        <v>-9000</v>
      </c>
      <c r="E1989">
        <v>6000</v>
      </c>
      <c r="F1989">
        <v>21000</v>
      </c>
      <c r="G1989">
        <v>-12000</v>
      </c>
      <c r="H1989">
        <v>-12000</v>
      </c>
      <c r="I1989">
        <v>-12000</v>
      </c>
    </row>
    <row r="1990" spans="1:9" x14ac:dyDescent="0.3">
      <c r="A1990" s="48" t="s">
        <v>55</v>
      </c>
      <c r="C1990">
        <v>-1000</v>
      </c>
      <c r="D1990">
        <v>-10000</v>
      </c>
      <c r="E1990">
        <v>5000</v>
      </c>
      <c r="F1990">
        <v>20000</v>
      </c>
      <c r="G1990">
        <v>-13000</v>
      </c>
      <c r="H1990">
        <v>-13000</v>
      </c>
      <c r="I1990">
        <v>-13000</v>
      </c>
    </row>
    <row r="1991" spans="1:9" x14ac:dyDescent="0.3">
      <c r="A1991" s="48" t="s">
        <v>56</v>
      </c>
      <c r="C1991">
        <v>0</v>
      </c>
      <c r="D1991">
        <v>-11000</v>
      </c>
      <c r="E1991">
        <v>4000</v>
      </c>
      <c r="F1991">
        <v>19000</v>
      </c>
      <c r="G1991">
        <v>-14000</v>
      </c>
      <c r="H1991">
        <v>-14000</v>
      </c>
      <c r="I1991">
        <v>-14000</v>
      </c>
    </row>
    <row r="1992" spans="1:9" x14ac:dyDescent="0.3">
      <c r="A1992" s="48" t="s">
        <v>57</v>
      </c>
      <c r="C1992">
        <v>1000</v>
      </c>
      <c r="D1992">
        <v>-12000</v>
      </c>
      <c r="E1992">
        <v>3000</v>
      </c>
      <c r="F1992">
        <v>18000</v>
      </c>
      <c r="G1992">
        <v>-15000</v>
      </c>
      <c r="H1992">
        <v>-15000</v>
      </c>
      <c r="I1992">
        <v>-15000</v>
      </c>
    </row>
    <row r="1993" spans="1:9" x14ac:dyDescent="0.3">
      <c r="A1993" s="48" t="s">
        <v>58</v>
      </c>
      <c r="C1993">
        <v>2000</v>
      </c>
      <c r="D1993">
        <v>-13000</v>
      </c>
      <c r="E1993">
        <v>2000</v>
      </c>
      <c r="F1993">
        <v>17000</v>
      </c>
      <c r="G1993">
        <v>-16000</v>
      </c>
      <c r="H1993">
        <v>-16000</v>
      </c>
      <c r="I1993">
        <v>-16000</v>
      </c>
    </row>
    <row r="1994" spans="1:9" x14ac:dyDescent="0.3">
      <c r="A1994" s="15" t="s">
        <v>46</v>
      </c>
    </row>
    <row r="1995" spans="1:9" x14ac:dyDescent="0.3">
      <c r="A1995" s="48" t="s">
        <v>35</v>
      </c>
      <c r="C1995">
        <v>-8000</v>
      </c>
      <c r="D1995">
        <v>-2000</v>
      </c>
      <c r="E1995">
        <v>10000</v>
      </c>
      <c r="F1995">
        <v>25000</v>
      </c>
      <c r="G1995">
        <v>-8000</v>
      </c>
      <c r="H1995">
        <v>-8000</v>
      </c>
      <c r="I1995">
        <v>-8000</v>
      </c>
    </row>
    <row r="1996" spans="1:9" x14ac:dyDescent="0.3">
      <c r="A1996" s="48" t="s">
        <v>41</v>
      </c>
      <c r="C1996">
        <v>-7000</v>
      </c>
      <c r="D1996">
        <v>-3000</v>
      </c>
      <c r="E1996">
        <v>9000</v>
      </c>
      <c r="F1996">
        <v>24000</v>
      </c>
      <c r="G1996">
        <v>-9000</v>
      </c>
      <c r="H1996">
        <v>-9000</v>
      </c>
      <c r="I1996">
        <v>-9000</v>
      </c>
    </row>
    <row r="1997" spans="1:9" x14ac:dyDescent="0.3">
      <c r="A1997" s="48" t="s">
        <v>42</v>
      </c>
      <c r="C1997">
        <v>-6000</v>
      </c>
      <c r="D1997">
        <v>-4000</v>
      </c>
      <c r="E1997">
        <v>8000</v>
      </c>
      <c r="F1997">
        <v>23000</v>
      </c>
      <c r="G1997">
        <v>-10000</v>
      </c>
      <c r="H1997">
        <v>-10000</v>
      </c>
      <c r="I1997">
        <v>-10000</v>
      </c>
    </row>
    <row r="1998" spans="1:9" x14ac:dyDescent="0.3">
      <c r="A1998" s="48" t="s">
        <v>43</v>
      </c>
      <c r="C1998">
        <v>-5000</v>
      </c>
      <c r="D1998">
        <v>-5000</v>
      </c>
      <c r="E1998">
        <v>7000</v>
      </c>
      <c r="F1998">
        <v>22000</v>
      </c>
      <c r="G1998">
        <v>-11000</v>
      </c>
      <c r="H1998">
        <v>-11000</v>
      </c>
      <c r="I1998">
        <v>-11000</v>
      </c>
    </row>
    <row r="1999" spans="1:9" x14ac:dyDescent="0.3">
      <c r="A1999" s="48" t="s">
        <v>44</v>
      </c>
      <c r="C1999">
        <v>-4000</v>
      </c>
      <c r="D1999">
        <v>-6000</v>
      </c>
      <c r="E1999">
        <v>6000</v>
      </c>
      <c r="F1999">
        <v>21000</v>
      </c>
      <c r="G1999">
        <v>-12000</v>
      </c>
      <c r="H1999">
        <v>-12000</v>
      </c>
      <c r="I1999">
        <v>-12000</v>
      </c>
    </row>
    <row r="2000" spans="1:9" x14ac:dyDescent="0.3">
      <c r="A2000" s="48" t="s">
        <v>54</v>
      </c>
      <c r="C2000">
        <v>-3000</v>
      </c>
      <c r="D2000">
        <v>-7000</v>
      </c>
      <c r="E2000">
        <v>5000</v>
      </c>
      <c r="F2000">
        <v>20000</v>
      </c>
      <c r="G2000">
        <v>-13000</v>
      </c>
      <c r="H2000">
        <v>-13000</v>
      </c>
      <c r="I2000">
        <v>-13000</v>
      </c>
    </row>
    <row r="2001" spans="1:9" x14ac:dyDescent="0.3">
      <c r="A2001" s="48" t="s">
        <v>55</v>
      </c>
      <c r="C2001">
        <v>-2000</v>
      </c>
      <c r="D2001">
        <v>-8000</v>
      </c>
      <c r="E2001">
        <v>4000</v>
      </c>
      <c r="F2001">
        <v>19000</v>
      </c>
      <c r="G2001">
        <v>-14000</v>
      </c>
      <c r="H2001">
        <v>-14000</v>
      </c>
      <c r="I2001">
        <v>-14000</v>
      </c>
    </row>
    <row r="2002" spans="1:9" x14ac:dyDescent="0.3">
      <c r="A2002" s="48" t="s">
        <v>56</v>
      </c>
      <c r="C2002">
        <v>-1000</v>
      </c>
      <c r="D2002">
        <v>-9000</v>
      </c>
      <c r="E2002">
        <v>3000</v>
      </c>
      <c r="F2002">
        <v>18000</v>
      </c>
      <c r="G2002">
        <v>-15000</v>
      </c>
      <c r="H2002">
        <v>-15000</v>
      </c>
      <c r="I2002">
        <v>-15000</v>
      </c>
    </row>
    <row r="2003" spans="1:9" x14ac:dyDescent="0.3">
      <c r="A2003" s="48" t="s">
        <v>57</v>
      </c>
      <c r="C2003">
        <v>0</v>
      </c>
      <c r="D2003">
        <v>-10000</v>
      </c>
      <c r="E2003">
        <v>2000</v>
      </c>
      <c r="F2003">
        <v>17000</v>
      </c>
      <c r="G2003">
        <v>-16000</v>
      </c>
      <c r="H2003">
        <v>-16000</v>
      </c>
      <c r="I2003">
        <v>-16000</v>
      </c>
    </row>
    <row r="2004" spans="1:9" x14ac:dyDescent="0.3">
      <c r="A2004" s="48" t="s">
        <v>58</v>
      </c>
      <c r="C2004">
        <v>1000</v>
      </c>
      <c r="D2004">
        <v>-11000</v>
      </c>
      <c r="E2004">
        <v>1000</v>
      </c>
      <c r="F2004">
        <v>16000</v>
      </c>
      <c r="G2004">
        <v>-17000</v>
      </c>
      <c r="H2004">
        <v>-17000</v>
      </c>
      <c r="I2004">
        <v>-17000</v>
      </c>
    </row>
    <row r="2005" spans="1:9" x14ac:dyDescent="0.3">
      <c r="A2005" s="15" t="s">
        <v>47</v>
      </c>
    </row>
    <row r="2006" spans="1:9" x14ac:dyDescent="0.3">
      <c r="A2006" s="48" t="s">
        <v>35</v>
      </c>
      <c r="C2006">
        <v>-9000</v>
      </c>
      <c r="D2006">
        <v>0</v>
      </c>
      <c r="E2006">
        <v>9000</v>
      </c>
      <c r="F2006">
        <v>24000</v>
      </c>
      <c r="G2006">
        <v>-9000</v>
      </c>
      <c r="H2006">
        <v>-9000</v>
      </c>
      <c r="I2006">
        <v>-9000</v>
      </c>
    </row>
    <row r="2007" spans="1:9" x14ac:dyDescent="0.3">
      <c r="A2007" s="48" t="s">
        <v>41</v>
      </c>
      <c r="C2007">
        <v>-8000</v>
      </c>
      <c r="D2007">
        <v>-1000</v>
      </c>
      <c r="E2007">
        <v>8000</v>
      </c>
      <c r="F2007">
        <v>23000</v>
      </c>
      <c r="G2007">
        <v>-10000</v>
      </c>
      <c r="H2007">
        <v>-10000</v>
      </c>
      <c r="I2007">
        <v>-10000</v>
      </c>
    </row>
    <row r="2008" spans="1:9" x14ac:dyDescent="0.3">
      <c r="A2008" s="48" t="s">
        <v>42</v>
      </c>
      <c r="C2008">
        <v>-7000</v>
      </c>
      <c r="D2008">
        <v>-2000</v>
      </c>
      <c r="E2008">
        <v>7000</v>
      </c>
      <c r="F2008">
        <v>22000</v>
      </c>
      <c r="G2008">
        <v>-11000</v>
      </c>
      <c r="H2008">
        <v>-11000</v>
      </c>
      <c r="I2008">
        <v>-11000</v>
      </c>
    </row>
    <row r="2009" spans="1:9" x14ac:dyDescent="0.3">
      <c r="A2009" s="48" t="s">
        <v>43</v>
      </c>
      <c r="C2009">
        <v>-6000</v>
      </c>
      <c r="D2009">
        <v>-3000</v>
      </c>
      <c r="E2009">
        <v>6000</v>
      </c>
      <c r="F2009">
        <v>21000</v>
      </c>
      <c r="G2009">
        <v>-12000</v>
      </c>
      <c r="H2009">
        <v>-12000</v>
      </c>
      <c r="I2009">
        <v>-12000</v>
      </c>
    </row>
    <row r="2010" spans="1:9" x14ac:dyDescent="0.3">
      <c r="A2010" s="48" t="s">
        <v>44</v>
      </c>
      <c r="C2010">
        <v>-5000</v>
      </c>
      <c r="D2010">
        <v>-4000</v>
      </c>
      <c r="E2010">
        <v>5000</v>
      </c>
      <c r="F2010">
        <v>20000</v>
      </c>
      <c r="G2010">
        <v>-13000</v>
      </c>
      <c r="H2010">
        <v>-13000</v>
      </c>
      <c r="I2010">
        <v>-13000</v>
      </c>
    </row>
    <row r="2011" spans="1:9" x14ac:dyDescent="0.3">
      <c r="A2011" s="48" t="s">
        <v>54</v>
      </c>
      <c r="C2011">
        <v>-4000</v>
      </c>
      <c r="D2011">
        <v>-5000</v>
      </c>
      <c r="E2011">
        <v>4000</v>
      </c>
      <c r="F2011">
        <v>19000</v>
      </c>
      <c r="G2011">
        <v>-14000</v>
      </c>
      <c r="H2011">
        <v>-14000</v>
      </c>
      <c r="I2011">
        <v>-14000</v>
      </c>
    </row>
    <row r="2012" spans="1:9" x14ac:dyDescent="0.3">
      <c r="A2012" s="48" t="s">
        <v>55</v>
      </c>
      <c r="C2012">
        <v>-3000</v>
      </c>
      <c r="D2012">
        <v>-6000</v>
      </c>
      <c r="E2012">
        <v>3000</v>
      </c>
      <c r="F2012">
        <v>18000</v>
      </c>
      <c r="G2012">
        <v>-15000</v>
      </c>
      <c r="H2012">
        <v>-15000</v>
      </c>
      <c r="I2012">
        <v>-15000</v>
      </c>
    </row>
    <row r="2013" spans="1:9" x14ac:dyDescent="0.3">
      <c r="A2013" s="48" t="s">
        <v>56</v>
      </c>
      <c r="C2013">
        <v>-2000</v>
      </c>
      <c r="D2013">
        <v>-7000</v>
      </c>
      <c r="E2013">
        <v>2000</v>
      </c>
      <c r="F2013">
        <v>17000</v>
      </c>
      <c r="G2013">
        <v>-16000</v>
      </c>
      <c r="H2013">
        <v>-16000</v>
      </c>
      <c r="I2013">
        <v>-16000</v>
      </c>
    </row>
    <row r="2014" spans="1:9" x14ac:dyDescent="0.3">
      <c r="A2014" s="48" t="s">
        <v>57</v>
      </c>
      <c r="C2014">
        <v>-1000</v>
      </c>
      <c r="D2014">
        <v>-8000</v>
      </c>
      <c r="E2014">
        <v>1000</v>
      </c>
      <c r="F2014">
        <v>16000</v>
      </c>
      <c r="G2014">
        <v>-17000</v>
      </c>
      <c r="H2014">
        <v>-17000</v>
      </c>
      <c r="I2014">
        <v>-17000</v>
      </c>
    </row>
    <row r="2015" spans="1:9" x14ac:dyDescent="0.3">
      <c r="A2015" s="48" t="s">
        <v>58</v>
      </c>
      <c r="C2015">
        <v>0</v>
      </c>
      <c r="D2015">
        <v>-9000</v>
      </c>
      <c r="E2015">
        <v>0</v>
      </c>
      <c r="F2015">
        <v>15000</v>
      </c>
      <c r="G2015">
        <v>-18000</v>
      </c>
      <c r="H2015">
        <v>-18000</v>
      </c>
      <c r="I2015">
        <v>-18000</v>
      </c>
    </row>
    <row r="2016" spans="1:9" x14ac:dyDescent="0.3">
      <c r="A2016" s="15" t="s">
        <v>48</v>
      </c>
    </row>
    <row r="2017" spans="1:9" x14ac:dyDescent="0.3">
      <c r="A2017" s="48" t="s">
        <v>35</v>
      </c>
      <c r="C2017">
        <v>-10000</v>
      </c>
      <c r="D2017">
        <v>2000</v>
      </c>
      <c r="E2017">
        <v>8000</v>
      </c>
      <c r="F2017">
        <v>23000</v>
      </c>
      <c r="G2017">
        <v>-10000</v>
      </c>
      <c r="H2017">
        <v>-10000</v>
      </c>
      <c r="I2017">
        <v>-10000</v>
      </c>
    </row>
    <row r="2018" spans="1:9" x14ac:dyDescent="0.3">
      <c r="A2018" s="48" t="s">
        <v>41</v>
      </c>
      <c r="C2018">
        <v>-9000</v>
      </c>
      <c r="D2018">
        <v>1000</v>
      </c>
      <c r="E2018">
        <v>7000</v>
      </c>
      <c r="F2018">
        <v>22000</v>
      </c>
      <c r="G2018">
        <v>-11000</v>
      </c>
      <c r="H2018">
        <v>-11000</v>
      </c>
      <c r="I2018">
        <v>-11000</v>
      </c>
    </row>
    <row r="2019" spans="1:9" x14ac:dyDescent="0.3">
      <c r="A2019" s="48" t="s">
        <v>42</v>
      </c>
      <c r="C2019">
        <v>-8000</v>
      </c>
      <c r="D2019">
        <v>0</v>
      </c>
      <c r="E2019">
        <v>6000</v>
      </c>
      <c r="F2019">
        <v>21000</v>
      </c>
      <c r="G2019">
        <v>-12000</v>
      </c>
      <c r="H2019">
        <v>-12000</v>
      </c>
      <c r="I2019">
        <v>-12000</v>
      </c>
    </row>
    <row r="2020" spans="1:9" x14ac:dyDescent="0.3">
      <c r="A2020" s="48" t="s">
        <v>43</v>
      </c>
      <c r="C2020">
        <v>-7000</v>
      </c>
      <c r="D2020">
        <v>-1000</v>
      </c>
      <c r="E2020">
        <v>5000</v>
      </c>
      <c r="F2020">
        <v>20000</v>
      </c>
      <c r="G2020">
        <v>-13000</v>
      </c>
      <c r="H2020">
        <v>-13000</v>
      </c>
      <c r="I2020">
        <v>-13000</v>
      </c>
    </row>
    <row r="2021" spans="1:9" x14ac:dyDescent="0.3">
      <c r="A2021" s="48" t="s">
        <v>44</v>
      </c>
      <c r="C2021">
        <v>-6000</v>
      </c>
      <c r="D2021">
        <v>-2000</v>
      </c>
      <c r="E2021">
        <v>4000</v>
      </c>
      <c r="F2021">
        <v>19000</v>
      </c>
      <c r="G2021">
        <v>-14000</v>
      </c>
      <c r="H2021">
        <v>-14000</v>
      </c>
      <c r="I2021">
        <v>-14000</v>
      </c>
    </row>
    <row r="2022" spans="1:9" x14ac:dyDescent="0.3">
      <c r="A2022" s="48" t="s">
        <v>54</v>
      </c>
      <c r="C2022">
        <v>-5000</v>
      </c>
      <c r="D2022">
        <v>-3000</v>
      </c>
      <c r="E2022">
        <v>3000</v>
      </c>
      <c r="F2022">
        <v>18000</v>
      </c>
      <c r="G2022">
        <v>-15000</v>
      </c>
      <c r="H2022">
        <v>-15000</v>
      </c>
      <c r="I2022">
        <v>-15000</v>
      </c>
    </row>
    <row r="2023" spans="1:9" x14ac:dyDescent="0.3">
      <c r="A2023" s="48" t="s">
        <v>55</v>
      </c>
      <c r="C2023">
        <v>-4000</v>
      </c>
      <c r="D2023">
        <v>-4000</v>
      </c>
      <c r="E2023">
        <v>2000</v>
      </c>
      <c r="F2023">
        <v>17000</v>
      </c>
      <c r="G2023">
        <v>-16000</v>
      </c>
      <c r="H2023">
        <v>-16000</v>
      </c>
      <c r="I2023">
        <v>-16000</v>
      </c>
    </row>
    <row r="2024" spans="1:9" x14ac:dyDescent="0.3">
      <c r="A2024" s="48" t="s">
        <v>56</v>
      </c>
      <c r="C2024">
        <v>-3000</v>
      </c>
      <c r="D2024">
        <v>-5000</v>
      </c>
      <c r="E2024">
        <v>1000</v>
      </c>
      <c r="F2024">
        <v>16000</v>
      </c>
      <c r="G2024">
        <v>-17000</v>
      </c>
      <c r="H2024">
        <v>-17000</v>
      </c>
      <c r="I2024">
        <v>-17000</v>
      </c>
    </row>
    <row r="2025" spans="1:9" x14ac:dyDescent="0.3">
      <c r="A2025" s="48" t="s">
        <v>57</v>
      </c>
      <c r="C2025">
        <v>-2000</v>
      </c>
      <c r="D2025">
        <v>-6000</v>
      </c>
      <c r="E2025">
        <v>0</v>
      </c>
      <c r="F2025">
        <v>15000</v>
      </c>
      <c r="G2025">
        <v>-18000</v>
      </c>
      <c r="H2025">
        <v>-18000</v>
      </c>
      <c r="I2025">
        <v>-18000</v>
      </c>
    </row>
    <row r="2026" spans="1:9" x14ac:dyDescent="0.3">
      <c r="A2026" s="48" t="s">
        <v>58</v>
      </c>
      <c r="C2026">
        <v>-1000</v>
      </c>
      <c r="D2026">
        <v>-7000</v>
      </c>
      <c r="E2026">
        <v>-1000</v>
      </c>
      <c r="F2026">
        <v>14000</v>
      </c>
      <c r="G2026">
        <v>-19000</v>
      </c>
      <c r="H2026">
        <v>-19000</v>
      </c>
      <c r="I2026">
        <v>-19000</v>
      </c>
    </row>
    <row r="2027" spans="1:9" x14ac:dyDescent="0.3">
      <c r="A2027" s="15" t="s">
        <v>59</v>
      </c>
    </row>
    <row r="2028" spans="1:9" x14ac:dyDescent="0.3">
      <c r="A2028" s="48" t="s">
        <v>35</v>
      </c>
      <c r="C2028">
        <v>-11000</v>
      </c>
      <c r="D2028">
        <v>4000</v>
      </c>
      <c r="E2028">
        <v>7000</v>
      </c>
      <c r="F2028">
        <v>22000</v>
      </c>
      <c r="G2028">
        <v>-11000</v>
      </c>
      <c r="H2028">
        <v>-11000</v>
      </c>
      <c r="I2028">
        <v>-11000</v>
      </c>
    </row>
    <row r="2029" spans="1:9" x14ac:dyDescent="0.3">
      <c r="A2029" s="48" t="s">
        <v>41</v>
      </c>
      <c r="C2029">
        <v>-10000</v>
      </c>
      <c r="D2029">
        <v>3000</v>
      </c>
      <c r="E2029">
        <v>6000</v>
      </c>
      <c r="F2029">
        <v>21000</v>
      </c>
      <c r="G2029">
        <v>-12000</v>
      </c>
      <c r="H2029">
        <v>-12000</v>
      </c>
      <c r="I2029">
        <v>-12000</v>
      </c>
    </row>
    <row r="2030" spans="1:9" x14ac:dyDescent="0.3">
      <c r="A2030" s="48" t="s">
        <v>42</v>
      </c>
      <c r="C2030">
        <v>-9000</v>
      </c>
      <c r="D2030">
        <v>2000</v>
      </c>
      <c r="E2030">
        <v>5000</v>
      </c>
      <c r="F2030">
        <v>20000</v>
      </c>
      <c r="G2030">
        <v>-13000</v>
      </c>
      <c r="H2030">
        <v>-13000</v>
      </c>
      <c r="I2030">
        <v>-13000</v>
      </c>
    </row>
    <row r="2031" spans="1:9" x14ac:dyDescent="0.3">
      <c r="A2031" s="48" t="s">
        <v>43</v>
      </c>
      <c r="C2031">
        <v>-8000</v>
      </c>
      <c r="D2031">
        <v>1000</v>
      </c>
      <c r="E2031">
        <v>4000</v>
      </c>
      <c r="F2031">
        <v>19000</v>
      </c>
      <c r="G2031">
        <v>-14000</v>
      </c>
      <c r="H2031">
        <v>-14000</v>
      </c>
      <c r="I2031">
        <v>-14000</v>
      </c>
    </row>
    <row r="2032" spans="1:9" x14ac:dyDescent="0.3">
      <c r="A2032" s="48" t="s">
        <v>44</v>
      </c>
      <c r="C2032">
        <v>-7000</v>
      </c>
      <c r="D2032">
        <v>0</v>
      </c>
      <c r="E2032">
        <v>3000</v>
      </c>
      <c r="F2032">
        <v>18000</v>
      </c>
      <c r="G2032">
        <v>-15000</v>
      </c>
      <c r="H2032">
        <v>-15000</v>
      </c>
      <c r="I2032">
        <v>-15000</v>
      </c>
    </row>
    <row r="2033" spans="1:9" x14ac:dyDescent="0.3">
      <c r="A2033" s="48" t="s">
        <v>54</v>
      </c>
      <c r="C2033">
        <v>-6000</v>
      </c>
      <c r="D2033">
        <v>-1000</v>
      </c>
      <c r="E2033">
        <v>2000</v>
      </c>
      <c r="F2033">
        <v>17000</v>
      </c>
      <c r="G2033">
        <v>-16000</v>
      </c>
      <c r="H2033">
        <v>-16000</v>
      </c>
      <c r="I2033">
        <v>-16000</v>
      </c>
    </row>
    <row r="2034" spans="1:9" x14ac:dyDescent="0.3">
      <c r="A2034" s="48" t="s">
        <v>55</v>
      </c>
      <c r="C2034">
        <v>-5000</v>
      </c>
      <c r="D2034">
        <v>-2000</v>
      </c>
      <c r="E2034">
        <v>1000</v>
      </c>
      <c r="F2034">
        <v>16000</v>
      </c>
      <c r="G2034">
        <v>-17000</v>
      </c>
      <c r="H2034">
        <v>-17000</v>
      </c>
      <c r="I2034">
        <v>-17000</v>
      </c>
    </row>
    <row r="2035" spans="1:9" x14ac:dyDescent="0.3">
      <c r="A2035" s="48" t="s">
        <v>56</v>
      </c>
      <c r="C2035">
        <v>-4000</v>
      </c>
      <c r="D2035">
        <v>-3000</v>
      </c>
      <c r="E2035">
        <v>0</v>
      </c>
      <c r="F2035">
        <v>15000</v>
      </c>
      <c r="G2035">
        <v>-18000</v>
      </c>
      <c r="H2035">
        <v>-18000</v>
      </c>
      <c r="I2035">
        <v>-18000</v>
      </c>
    </row>
    <row r="2036" spans="1:9" x14ac:dyDescent="0.3">
      <c r="A2036" s="48" t="s">
        <v>57</v>
      </c>
      <c r="C2036">
        <v>-3000</v>
      </c>
      <c r="D2036">
        <v>-4000</v>
      </c>
      <c r="E2036">
        <v>-1000</v>
      </c>
      <c r="F2036">
        <v>14000</v>
      </c>
      <c r="G2036">
        <v>-19000</v>
      </c>
      <c r="H2036">
        <v>-19000</v>
      </c>
      <c r="I2036">
        <v>-19000</v>
      </c>
    </row>
    <row r="2037" spans="1:9" x14ac:dyDescent="0.3">
      <c r="A2037" s="48" t="s">
        <v>58</v>
      </c>
      <c r="C2037">
        <v>-2000</v>
      </c>
      <c r="D2037">
        <v>-5000</v>
      </c>
      <c r="E2037">
        <v>-2000</v>
      </c>
      <c r="F2037">
        <v>13000</v>
      </c>
      <c r="G2037">
        <v>-20000</v>
      </c>
      <c r="H2037">
        <v>-20000</v>
      </c>
      <c r="I2037">
        <v>-20000</v>
      </c>
    </row>
    <row r="2038" spans="1:9" x14ac:dyDescent="0.3">
      <c r="A2038" s="15" t="s">
        <v>60</v>
      </c>
    </row>
    <row r="2039" spans="1:9" x14ac:dyDescent="0.3">
      <c r="A2039" s="48" t="s">
        <v>35</v>
      </c>
      <c r="C2039">
        <v>-12000</v>
      </c>
      <c r="D2039">
        <v>6000</v>
      </c>
      <c r="E2039">
        <v>6000</v>
      </c>
      <c r="F2039">
        <v>21000</v>
      </c>
      <c r="G2039">
        <v>-12000</v>
      </c>
      <c r="H2039">
        <v>-12000</v>
      </c>
      <c r="I2039">
        <v>-12000</v>
      </c>
    </row>
    <row r="2040" spans="1:9" x14ac:dyDescent="0.3">
      <c r="A2040" s="48" t="s">
        <v>41</v>
      </c>
      <c r="C2040">
        <v>-11000</v>
      </c>
      <c r="D2040">
        <v>5000</v>
      </c>
      <c r="E2040">
        <v>5000</v>
      </c>
      <c r="F2040">
        <v>20000</v>
      </c>
      <c r="G2040">
        <v>-13000</v>
      </c>
      <c r="H2040">
        <v>-13000</v>
      </c>
      <c r="I2040">
        <v>-13000</v>
      </c>
    </row>
    <row r="2041" spans="1:9" x14ac:dyDescent="0.3">
      <c r="A2041" s="48" t="s">
        <v>42</v>
      </c>
      <c r="C2041">
        <v>-10000</v>
      </c>
      <c r="D2041">
        <v>4000</v>
      </c>
      <c r="E2041">
        <v>4000</v>
      </c>
      <c r="F2041">
        <v>19000</v>
      </c>
      <c r="G2041">
        <v>-14000</v>
      </c>
      <c r="H2041">
        <v>-14000</v>
      </c>
      <c r="I2041">
        <v>-14000</v>
      </c>
    </row>
    <row r="2042" spans="1:9" x14ac:dyDescent="0.3">
      <c r="A2042" s="48" t="s">
        <v>43</v>
      </c>
      <c r="C2042">
        <v>-9000</v>
      </c>
      <c r="D2042">
        <v>3000</v>
      </c>
      <c r="E2042">
        <v>3000</v>
      </c>
      <c r="F2042">
        <v>18000</v>
      </c>
      <c r="G2042">
        <v>-15000</v>
      </c>
      <c r="H2042">
        <v>-15000</v>
      </c>
      <c r="I2042">
        <v>-15000</v>
      </c>
    </row>
    <row r="2043" spans="1:9" x14ac:dyDescent="0.3">
      <c r="A2043" s="48" t="s">
        <v>44</v>
      </c>
      <c r="C2043">
        <v>-8000</v>
      </c>
      <c r="D2043">
        <v>2000</v>
      </c>
      <c r="E2043">
        <v>2000</v>
      </c>
      <c r="F2043">
        <v>17000</v>
      </c>
      <c r="G2043">
        <v>-16000</v>
      </c>
      <c r="H2043">
        <v>-16000</v>
      </c>
      <c r="I2043">
        <v>-16000</v>
      </c>
    </row>
    <row r="2044" spans="1:9" x14ac:dyDescent="0.3">
      <c r="A2044" s="48" t="s">
        <v>54</v>
      </c>
      <c r="C2044">
        <v>-7000</v>
      </c>
      <c r="D2044">
        <v>1000</v>
      </c>
      <c r="E2044">
        <v>1000</v>
      </c>
      <c r="F2044">
        <v>16000</v>
      </c>
      <c r="G2044">
        <v>-17000</v>
      </c>
      <c r="H2044">
        <v>-17000</v>
      </c>
      <c r="I2044">
        <v>-17000</v>
      </c>
    </row>
    <row r="2045" spans="1:9" x14ac:dyDescent="0.3">
      <c r="A2045" s="48" t="s">
        <v>55</v>
      </c>
      <c r="C2045">
        <v>-6000</v>
      </c>
      <c r="D2045">
        <v>0</v>
      </c>
      <c r="E2045">
        <v>0</v>
      </c>
      <c r="F2045">
        <v>15000</v>
      </c>
      <c r="G2045">
        <v>-18000</v>
      </c>
      <c r="H2045">
        <v>-18000</v>
      </c>
      <c r="I2045">
        <v>-18000</v>
      </c>
    </row>
    <row r="2046" spans="1:9" x14ac:dyDescent="0.3">
      <c r="A2046" s="48" t="s">
        <v>56</v>
      </c>
      <c r="C2046">
        <v>-5000</v>
      </c>
      <c r="D2046">
        <v>-1000</v>
      </c>
      <c r="E2046">
        <v>-1000</v>
      </c>
      <c r="F2046">
        <v>14000</v>
      </c>
      <c r="G2046">
        <v>-19000</v>
      </c>
      <c r="H2046">
        <v>-19000</v>
      </c>
      <c r="I2046">
        <v>-19000</v>
      </c>
    </row>
    <row r="2047" spans="1:9" x14ac:dyDescent="0.3">
      <c r="A2047" s="48" t="s">
        <v>57</v>
      </c>
      <c r="C2047">
        <v>-4000</v>
      </c>
      <c r="D2047">
        <v>-2000</v>
      </c>
      <c r="E2047">
        <v>-2000</v>
      </c>
      <c r="F2047">
        <v>13000</v>
      </c>
      <c r="G2047">
        <v>-20000</v>
      </c>
      <c r="H2047">
        <v>-20000</v>
      </c>
      <c r="I2047">
        <v>-20000</v>
      </c>
    </row>
    <row r="2048" spans="1:9" x14ac:dyDescent="0.3">
      <c r="A2048" s="48" t="s">
        <v>58</v>
      </c>
      <c r="C2048">
        <v>-3000</v>
      </c>
      <c r="D2048">
        <v>-3000</v>
      </c>
      <c r="E2048">
        <v>-3000</v>
      </c>
      <c r="F2048">
        <v>12000</v>
      </c>
      <c r="G2048">
        <v>-21000</v>
      </c>
      <c r="H2048">
        <v>-21000</v>
      </c>
      <c r="I2048">
        <v>-21000</v>
      </c>
    </row>
    <row r="2049" spans="1:9" x14ac:dyDescent="0.3">
      <c r="A2049" s="15" t="s">
        <v>61</v>
      </c>
    </row>
    <row r="2050" spans="1:9" x14ac:dyDescent="0.3">
      <c r="A2050" s="48" t="s">
        <v>35</v>
      </c>
      <c r="C2050">
        <v>-13000</v>
      </c>
      <c r="D2050">
        <v>8000</v>
      </c>
      <c r="E2050">
        <v>5000</v>
      </c>
      <c r="F2050">
        <v>20000</v>
      </c>
      <c r="G2050">
        <v>-13000</v>
      </c>
      <c r="H2050">
        <v>-13000</v>
      </c>
      <c r="I2050">
        <v>-13000</v>
      </c>
    </row>
    <row r="2051" spans="1:9" x14ac:dyDescent="0.3">
      <c r="A2051" s="48" t="s">
        <v>41</v>
      </c>
      <c r="C2051">
        <v>-12000</v>
      </c>
      <c r="D2051">
        <v>7000</v>
      </c>
      <c r="E2051">
        <v>4000</v>
      </c>
      <c r="F2051">
        <v>19000</v>
      </c>
      <c r="G2051">
        <v>-14000</v>
      </c>
      <c r="H2051">
        <v>-14000</v>
      </c>
      <c r="I2051">
        <v>-14000</v>
      </c>
    </row>
    <row r="2052" spans="1:9" x14ac:dyDescent="0.3">
      <c r="A2052" s="48" t="s">
        <v>42</v>
      </c>
      <c r="C2052">
        <v>-11000</v>
      </c>
      <c r="D2052">
        <v>6000</v>
      </c>
      <c r="E2052">
        <v>3000</v>
      </c>
      <c r="F2052">
        <v>18000</v>
      </c>
      <c r="G2052">
        <v>-15000</v>
      </c>
      <c r="H2052">
        <v>-15000</v>
      </c>
      <c r="I2052">
        <v>-15000</v>
      </c>
    </row>
    <row r="2053" spans="1:9" x14ac:dyDescent="0.3">
      <c r="A2053" s="48" t="s">
        <v>43</v>
      </c>
      <c r="C2053">
        <v>-10000</v>
      </c>
      <c r="D2053">
        <v>5000</v>
      </c>
      <c r="E2053">
        <v>2000</v>
      </c>
      <c r="F2053">
        <v>17000</v>
      </c>
      <c r="G2053">
        <v>-16000</v>
      </c>
      <c r="H2053">
        <v>-16000</v>
      </c>
      <c r="I2053">
        <v>-16000</v>
      </c>
    </row>
    <row r="2054" spans="1:9" x14ac:dyDescent="0.3">
      <c r="A2054" s="48" t="s">
        <v>44</v>
      </c>
      <c r="C2054">
        <v>-9000</v>
      </c>
      <c r="D2054">
        <v>4000</v>
      </c>
      <c r="E2054">
        <v>1000</v>
      </c>
      <c r="F2054">
        <v>16000</v>
      </c>
      <c r="G2054">
        <v>-17000</v>
      </c>
      <c r="H2054">
        <v>-17000</v>
      </c>
      <c r="I2054">
        <v>-17000</v>
      </c>
    </row>
    <row r="2055" spans="1:9" x14ac:dyDescent="0.3">
      <c r="A2055" s="48" t="s">
        <v>54</v>
      </c>
      <c r="C2055">
        <v>-8000</v>
      </c>
      <c r="D2055">
        <v>3000</v>
      </c>
      <c r="E2055">
        <v>0</v>
      </c>
      <c r="F2055">
        <v>15000</v>
      </c>
      <c r="G2055">
        <v>-18000</v>
      </c>
      <c r="H2055">
        <v>-18000</v>
      </c>
      <c r="I2055">
        <v>-18000</v>
      </c>
    </row>
    <row r="2056" spans="1:9" x14ac:dyDescent="0.3">
      <c r="A2056" s="48" t="s">
        <v>55</v>
      </c>
      <c r="C2056">
        <v>-7000</v>
      </c>
      <c r="D2056">
        <v>2000</v>
      </c>
      <c r="E2056">
        <v>-1000</v>
      </c>
      <c r="F2056">
        <v>14000</v>
      </c>
      <c r="G2056">
        <v>-19000</v>
      </c>
      <c r="H2056">
        <v>-19000</v>
      </c>
      <c r="I2056">
        <v>-19000</v>
      </c>
    </row>
    <row r="2057" spans="1:9" x14ac:dyDescent="0.3">
      <c r="A2057" s="48" t="s">
        <v>56</v>
      </c>
      <c r="C2057">
        <v>-6000</v>
      </c>
      <c r="D2057">
        <v>1000</v>
      </c>
      <c r="E2057">
        <v>-2000</v>
      </c>
      <c r="F2057">
        <v>13000</v>
      </c>
      <c r="G2057">
        <v>-20000</v>
      </c>
      <c r="H2057">
        <v>-20000</v>
      </c>
      <c r="I2057">
        <v>-20000</v>
      </c>
    </row>
    <row r="2058" spans="1:9" x14ac:dyDescent="0.3">
      <c r="A2058" s="48" t="s">
        <v>57</v>
      </c>
      <c r="C2058">
        <v>-5000</v>
      </c>
      <c r="D2058">
        <v>0</v>
      </c>
      <c r="E2058">
        <v>-3000</v>
      </c>
      <c r="F2058">
        <v>12000</v>
      </c>
      <c r="G2058">
        <v>-21000</v>
      </c>
      <c r="H2058">
        <v>-21000</v>
      </c>
      <c r="I2058">
        <v>-21000</v>
      </c>
    </row>
    <row r="2059" spans="1:9" x14ac:dyDescent="0.3">
      <c r="A2059" s="48" t="s">
        <v>58</v>
      </c>
      <c r="C2059">
        <v>-4000</v>
      </c>
      <c r="D2059">
        <v>-1000</v>
      </c>
      <c r="E2059">
        <v>-4000</v>
      </c>
      <c r="F2059">
        <v>11000</v>
      </c>
      <c r="G2059">
        <v>-22000</v>
      </c>
      <c r="H2059">
        <v>-22000</v>
      </c>
      <c r="I2059">
        <v>-22000</v>
      </c>
    </row>
    <row r="2060" spans="1:9" x14ac:dyDescent="0.3">
      <c r="A2060" s="15" t="s">
        <v>62</v>
      </c>
    </row>
    <row r="2061" spans="1:9" x14ac:dyDescent="0.3">
      <c r="A2061" s="48" t="s">
        <v>35</v>
      </c>
      <c r="C2061">
        <v>-14000</v>
      </c>
      <c r="D2061">
        <v>10000</v>
      </c>
      <c r="E2061">
        <v>4000</v>
      </c>
      <c r="F2061">
        <v>19000</v>
      </c>
      <c r="G2061">
        <v>-14000</v>
      </c>
      <c r="H2061">
        <v>-14000</v>
      </c>
      <c r="I2061">
        <v>-14000</v>
      </c>
    </row>
    <row r="2062" spans="1:9" x14ac:dyDescent="0.3">
      <c r="A2062" s="48" t="s">
        <v>41</v>
      </c>
      <c r="C2062">
        <v>-13000</v>
      </c>
      <c r="D2062">
        <v>9000</v>
      </c>
      <c r="E2062">
        <v>3000</v>
      </c>
      <c r="F2062">
        <v>18000</v>
      </c>
      <c r="G2062">
        <v>-15000</v>
      </c>
      <c r="H2062">
        <v>-15000</v>
      </c>
      <c r="I2062">
        <v>-15000</v>
      </c>
    </row>
    <row r="2063" spans="1:9" x14ac:dyDescent="0.3">
      <c r="A2063" s="48" t="s">
        <v>42</v>
      </c>
      <c r="C2063">
        <v>-12000</v>
      </c>
      <c r="D2063">
        <v>8000</v>
      </c>
      <c r="E2063">
        <v>2000</v>
      </c>
      <c r="F2063">
        <v>17000</v>
      </c>
      <c r="G2063">
        <v>-16000</v>
      </c>
      <c r="H2063">
        <v>-16000</v>
      </c>
      <c r="I2063">
        <v>-16000</v>
      </c>
    </row>
    <row r="2064" spans="1:9" x14ac:dyDescent="0.3">
      <c r="A2064" s="48" t="s">
        <v>43</v>
      </c>
      <c r="C2064">
        <v>-11000</v>
      </c>
      <c r="D2064">
        <v>7000</v>
      </c>
      <c r="E2064">
        <v>1000</v>
      </c>
      <c r="F2064">
        <v>16000</v>
      </c>
      <c r="G2064">
        <v>-17000</v>
      </c>
      <c r="H2064">
        <v>-17000</v>
      </c>
      <c r="I2064">
        <v>-17000</v>
      </c>
    </row>
    <row r="2065" spans="1:9" x14ac:dyDescent="0.3">
      <c r="A2065" s="48" t="s">
        <v>44</v>
      </c>
      <c r="C2065">
        <v>-10000</v>
      </c>
      <c r="D2065">
        <v>6000</v>
      </c>
      <c r="E2065">
        <v>0</v>
      </c>
      <c r="F2065">
        <v>15000</v>
      </c>
      <c r="G2065">
        <v>-18000</v>
      </c>
      <c r="H2065">
        <v>-18000</v>
      </c>
      <c r="I2065">
        <v>-18000</v>
      </c>
    </row>
    <row r="2066" spans="1:9" x14ac:dyDescent="0.3">
      <c r="A2066" s="48" t="s">
        <v>54</v>
      </c>
      <c r="C2066">
        <v>-9000</v>
      </c>
      <c r="D2066">
        <v>5000</v>
      </c>
      <c r="E2066">
        <v>-1000</v>
      </c>
      <c r="F2066">
        <v>14000</v>
      </c>
      <c r="G2066">
        <v>-19000</v>
      </c>
      <c r="H2066">
        <v>-19000</v>
      </c>
      <c r="I2066">
        <v>-19000</v>
      </c>
    </row>
    <row r="2067" spans="1:9" x14ac:dyDescent="0.3">
      <c r="A2067" s="48" t="s">
        <v>55</v>
      </c>
      <c r="C2067">
        <v>-8000</v>
      </c>
      <c r="D2067">
        <v>4000</v>
      </c>
      <c r="E2067">
        <v>-2000</v>
      </c>
      <c r="F2067">
        <v>13000</v>
      </c>
      <c r="G2067">
        <v>-20000</v>
      </c>
      <c r="H2067">
        <v>-20000</v>
      </c>
      <c r="I2067">
        <v>-20000</v>
      </c>
    </row>
    <row r="2068" spans="1:9" x14ac:dyDescent="0.3">
      <c r="A2068" s="48" t="s">
        <v>56</v>
      </c>
      <c r="C2068">
        <v>-7000</v>
      </c>
      <c r="D2068">
        <v>3000</v>
      </c>
      <c r="E2068">
        <v>-3000</v>
      </c>
      <c r="F2068">
        <v>12000</v>
      </c>
      <c r="G2068">
        <v>-21000</v>
      </c>
      <c r="H2068">
        <v>-21000</v>
      </c>
      <c r="I2068">
        <v>-21000</v>
      </c>
    </row>
    <row r="2069" spans="1:9" x14ac:dyDescent="0.3">
      <c r="A2069" s="48" t="s">
        <v>57</v>
      </c>
      <c r="C2069">
        <v>-6000</v>
      </c>
      <c r="D2069">
        <v>2000</v>
      </c>
      <c r="E2069">
        <v>-4000</v>
      </c>
      <c r="F2069">
        <v>11000</v>
      </c>
      <c r="G2069">
        <v>-22000</v>
      </c>
      <c r="H2069">
        <v>-22000</v>
      </c>
      <c r="I2069">
        <v>-22000</v>
      </c>
    </row>
    <row r="2070" spans="1:9" x14ac:dyDescent="0.3">
      <c r="A2070" s="48" t="s">
        <v>58</v>
      </c>
      <c r="C2070">
        <v>-5000</v>
      </c>
      <c r="D2070">
        <v>1000</v>
      </c>
      <c r="E2070">
        <v>-5000</v>
      </c>
      <c r="F2070">
        <v>10000</v>
      </c>
      <c r="G2070">
        <v>-23000</v>
      </c>
      <c r="H2070">
        <v>-23000</v>
      </c>
      <c r="I2070">
        <v>-23000</v>
      </c>
    </row>
    <row r="2071" spans="1:9" x14ac:dyDescent="0.3">
      <c r="A2071" s="15" t="s">
        <v>63</v>
      </c>
    </row>
    <row r="2072" spans="1:9" x14ac:dyDescent="0.3">
      <c r="A2072" s="48" t="s">
        <v>35</v>
      </c>
      <c r="C2072">
        <v>-15000</v>
      </c>
      <c r="D2072">
        <v>12000</v>
      </c>
      <c r="E2072">
        <v>3000</v>
      </c>
      <c r="F2072">
        <v>18000</v>
      </c>
      <c r="G2072">
        <v>-15000</v>
      </c>
      <c r="H2072">
        <v>-15000</v>
      </c>
      <c r="I2072">
        <v>-15000</v>
      </c>
    </row>
    <row r="2073" spans="1:9" x14ac:dyDescent="0.3">
      <c r="A2073" s="48" t="s">
        <v>41</v>
      </c>
      <c r="C2073">
        <v>-14000</v>
      </c>
      <c r="D2073">
        <v>11000</v>
      </c>
      <c r="E2073">
        <v>2000</v>
      </c>
      <c r="F2073">
        <v>17000</v>
      </c>
      <c r="G2073">
        <v>-16000</v>
      </c>
      <c r="H2073">
        <v>-16000</v>
      </c>
      <c r="I2073">
        <v>-16000</v>
      </c>
    </row>
    <row r="2074" spans="1:9" x14ac:dyDescent="0.3">
      <c r="A2074" s="48" t="s">
        <v>42</v>
      </c>
      <c r="C2074">
        <v>-13000</v>
      </c>
      <c r="D2074">
        <v>10000</v>
      </c>
      <c r="E2074">
        <v>1000</v>
      </c>
      <c r="F2074">
        <v>16000</v>
      </c>
      <c r="G2074">
        <v>-17000</v>
      </c>
      <c r="H2074">
        <v>-17000</v>
      </c>
      <c r="I2074">
        <v>-17000</v>
      </c>
    </row>
    <row r="2075" spans="1:9" x14ac:dyDescent="0.3">
      <c r="A2075" s="48" t="s">
        <v>43</v>
      </c>
      <c r="C2075">
        <v>-12000</v>
      </c>
      <c r="D2075">
        <v>9000</v>
      </c>
      <c r="E2075">
        <v>0</v>
      </c>
      <c r="F2075">
        <v>15000</v>
      </c>
      <c r="G2075">
        <v>-18000</v>
      </c>
      <c r="H2075">
        <v>-18000</v>
      </c>
      <c r="I2075">
        <v>-18000</v>
      </c>
    </row>
    <row r="2076" spans="1:9" x14ac:dyDescent="0.3">
      <c r="A2076" s="48" t="s">
        <v>44</v>
      </c>
      <c r="C2076">
        <v>-11000</v>
      </c>
      <c r="D2076">
        <v>8000</v>
      </c>
      <c r="E2076">
        <v>-1000</v>
      </c>
      <c r="F2076">
        <v>14000</v>
      </c>
      <c r="G2076">
        <v>-19000</v>
      </c>
      <c r="H2076">
        <v>-19000</v>
      </c>
      <c r="I2076">
        <v>-19000</v>
      </c>
    </row>
    <row r="2077" spans="1:9" x14ac:dyDescent="0.3">
      <c r="A2077" s="48" t="s">
        <v>54</v>
      </c>
      <c r="C2077">
        <v>-10000</v>
      </c>
      <c r="D2077">
        <v>7000</v>
      </c>
      <c r="E2077">
        <v>-2000</v>
      </c>
      <c r="F2077">
        <v>13000</v>
      </c>
      <c r="G2077">
        <v>-20000</v>
      </c>
      <c r="H2077">
        <v>-20000</v>
      </c>
      <c r="I2077">
        <v>-20000</v>
      </c>
    </row>
    <row r="2078" spans="1:9" x14ac:dyDescent="0.3">
      <c r="A2078" s="48" t="s">
        <v>55</v>
      </c>
      <c r="C2078">
        <v>-9000</v>
      </c>
      <c r="D2078">
        <v>6000</v>
      </c>
      <c r="E2078">
        <v>-3000</v>
      </c>
      <c r="F2078">
        <v>12000</v>
      </c>
      <c r="G2078">
        <v>-21000</v>
      </c>
      <c r="H2078">
        <v>-21000</v>
      </c>
      <c r="I2078">
        <v>-21000</v>
      </c>
    </row>
    <row r="2079" spans="1:9" x14ac:dyDescent="0.3">
      <c r="A2079" s="48" t="s">
        <v>56</v>
      </c>
      <c r="C2079">
        <v>-8000</v>
      </c>
      <c r="D2079">
        <v>5000</v>
      </c>
      <c r="E2079">
        <v>-4000</v>
      </c>
      <c r="F2079">
        <v>11000</v>
      </c>
      <c r="G2079">
        <v>-22000</v>
      </c>
      <c r="H2079">
        <v>-22000</v>
      </c>
      <c r="I2079">
        <v>-22000</v>
      </c>
    </row>
    <row r="2080" spans="1:9" x14ac:dyDescent="0.3">
      <c r="A2080" s="48" t="s">
        <v>57</v>
      </c>
      <c r="C2080">
        <v>-7000</v>
      </c>
      <c r="D2080">
        <v>4000</v>
      </c>
      <c r="E2080">
        <v>-5000</v>
      </c>
      <c r="F2080">
        <v>10000</v>
      </c>
      <c r="G2080">
        <v>-23000</v>
      </c>
      <c r="H2080">
        <v>-23000</v>
      </c>
      <c r="I2080">
        <v>-23000</v>
      </c>
    </row>
    <row r="2081" spans="1:9" x14ac:dyDescent="0.3">
      <c r="A2081" s="48" t="s">
        <v>58</v>
      </c>
      <c r="C2081">
        <v>-6000</v>
      </c>
      <c r="D2081">
        <v>3000</v>
      </c>
      <c r="E2081">
        <v>-6000</v>
      </c>
      <c r="F2081">
        <v>9000</v>
      </c>
      <c r="G2081">
        <v>-24000</v>
      </c>
      <c r="H2081">
        <v>-24000</v>
      </c>
      <c r="I2081">
        <v>-24000</v>
      </c>
    </row>
    <row r="2082" spans="1:9" x14ac:dyDescent="0.3">
      <c r="A2082" s="14" t="s">
        <v>52</v>
      </c>
    </row>
    <row r="2083" spans="1:9" x14ac:dyDescent="0.3">
      <c r="A2083" s="15" t="s">
        <v>34</v>
      </c>
    </row>
    <row r="2084" spans="1:9" x14ac:dyDescent="0.3">
      <c r="A2084" s="48" t="s">
        <v>35</v>
      </c>
      <c r="C2084">
        <v>-7000</v>
      </c>
      <c r="D2084">
        <v>-7000</v>
      </c>
      <c r="E2084">
        <v>17000</v>
      </c>
      <c r="F2084">
        <v>26000</v>
      </c>
      <c r="G2084">
        <v>-7000</v>
      </c>
      <c r="H2084">
        <v>-7000</v>
      </c>
      <c r="I2084">
        <v>-7000</v>
      </c>
    </row>
    <row r="2085" spans="1:9" x14ac:dyDescent="0.3">
      <c r="A2085" s="48" t="s">
        <v>41</v>
      </c>
      <c r="C2085">
        <v>-6000</v>
      </c>
      <c r="D2085">
        <v>-8000</v>
      </c>
      <c r="E2085">
        <v>16000</v>
      </c>
      <c r="F2085">
        <v>25000</v>
      </c>
      <c r="G2085">
        <v>-8000</v>
      </c>
      <c r="H2085">
        <v>-8000</v>
      </c>
      <c r="I2085">
        <v>-8000</v>
      </c>
    </row>
    <row r="2086" spans="1:9" x14ac:dyDescent="0.3">
      <c r="A2086" s="48" t="s">
        <v>42</v>
      </c>
      <c r="C2086">
        <v>-5000</v>
      </c>
      <c r="D2086">
        <v>-9000</v>
      </c>
      <c r="E2086">
        <v>15000</v>
      </c>
      <c r="F2086">
        <v>24000</v>
      </c>
      <c r="G2086">
        <v>-9000</v>
      </c>
      <c r="H2086">
        <v>-9000</v>
      </c>
      <c r="I2086">
        <v>-9000</v>
      </c>
    </row>
    <row r="2087" spans="1:9" x14ac:dyDescent="0.3">
      <c r="A2087" s="48" t="s">
        <v>43</v>
      </c>
      <c r="C2087">
        <v>-4000</v>
      </c>
      <c r="D2087">
        <v>-10000</v>
      </c>
      <c r="E2087">
        <v>14000</v>
      </c>
      <c r="F2087">
        <v>23000</v>
      </c>
      <c r="G2087">
        <v>-10000</v>
      </c>
      <c r="H2087">
        <v>-10000</v>
      </c>
      <c r="I2087">
        <v>-10000</v>
      </c>
    </row>
    <row r="2088" spans="1:9" x14ac:dyDescent="0.3">
      <c r="A2088" s="48" t="s">
        <v>44</v>
      </c>
      <c r="C2088">
        <v>-3000</v>
      </c>
      <c r="D2088">
        <v>-11000</v>
      </c>
      <c r="E2088">
        <v>13000</v>
      </c>
      <c r="F2088">
        <v>22000</v>
      </c>
      <c r="G2088">
        <v>-11000</v>
      </c>
      <c r="H2088">
        <v>-11000</v>
      </c>
      <c r="I2088">
        <v>-11000</v>
      </c>
    </row>
    <row r="2089" spans="1:9" x14ac:dyDescent="0.3">
      <c r="A2089" s="48" t="s">
        <v>54</v>
      </c>
      <c r="C2089">
        <v>-2000</v>
      </c>
      <c r="D2089">
        <v>-12000</v>
      </c>
      <c r="E2089">
        <v>12000</v>
      </c>
      <c r="F2089">
        <v>21000</v>
      </c>
      <c r="G2089">
        <v>-12000</v>
      </c>
      <c r="H2089">
        <v>-12000</v>
      </c>
      <c r="I2089">
        <v>-12000</v>
      </c>
    </row>
    <row r="2090" spans="1:9" x14ac:dyDescent="0.3">
      <c r="A2090" s="48" t="s">
        <v>55</v>
      </c>
      <c r="C2090">
        <v>-1000</v>
      </c>
      <c r="D2090">
        <v>-13000</v>
      </c>
      <c r="E2090">
        <v>11000</v>
      </c>
      <c r="F2090">
        <v>20000</v>
      </c>
      <c r="G2090">
        <v>-13000</v>
      </c>
      <c r="H2090">
        <v>-13000</v>
      </c>
      <c r="I2090">
        <v>-13000</v>
      </c>
    </row>
    <row r="2091" spans="1:9" x14ac:dyDescent="0.3">
      <c r="A2091" s="48" t="s">
        <v>56</v>
      </c>
      <c r="C2091">
        <v>0</v>
      </c>
      <c r="D2091">
        <v>-14000</v>
      </c>
      <c r="E2091">
        <v>10000</v>
      </c>
      <c r="F2091">
        <v>19000</v>
      </c>
      <c r="G2091">
        <v>-14000</v>
      </c>
      <c r="H2091">
        <v>-14000</v>
      </c>
      <c r="I2091">
        <v>-14000</v>
      </c>
    </row>
    <row r="2092" spans="1:9" x14ac:dyDescent="0.3">
      <c r="A2092" s="48" t="s">
        <v>57</v>
      </c>
      <c r="C2092">
        <v>1000</v>
      </c>
      <c r="D2092">
        <v>-15000</v>
      </c>
      <c r="E2092">
        <v>9000</v>
      </c>
      <c r="F2092">
        <v>18000</v>
      </c>
      <c r="G2092">
        <v>-15000</v>
      </c>
      <c r="H2092">
        <v>-15000</v>
      </c>
      <c r="I2092">
        <v>-15000</v>
      </c>
    </row>
    <row r="2093" spans="1:9" x14ac:dyDescent="0.3">
      <c r="A2093" s="48" t="s">
        <v>58</v>
      </c>
      <c r="C2093">
        <v>2000</v>
      </c>
      <c r="D2093">
        <v>-16000</v>
      </c>
      <c r="E2093">
        <v>8000</v>
      </c>
      <c r="F2093">
        <v>17000</v>
      </c>
      <c r="G2093">
        <v>-16000</v>
      </c>
      <c r="H2093">
        <v>-16000</v>
      </c>
      <c r="I2093">
        <v>-16000</v>
      </c>
    </row>
    <row r="2094" spans="1:9" x14ac:dyDescent="0.3">
      <c r="A2094" s="15" t="s">
        <v>45</v>
      </c>
    </row>
    <row r="2095" spans="1:9" x14ac:dyDescent="0.3">
      <c r="A2095" s="48" t="s">
        <v>35</v>
      </c>
      <c r="C2095">
        <v>-8000</v>
      </c>
      <c r="D2095">
        <v>-5000</v>
      </c>
      <c r="E2095">
        <v>16000</v>
      </c>
      <c r="F2095">
        <v>25000</v>
      </c>
      <c r="G2095">
        <v>-8000</v>
      </c>
      <c r="H2095">
        <v>-8000</v>
      </c>
      <c r="I2095">
        <v>-8000</v>
      </c>
    </row>
    <row r="2096" spans="1:9" x14ac:dyDescent="0.3">
      <c r="A2096" s="48" t="s">
        <v>41</v>
      </c>
      <c r="C2096">
        <v>-7000</v>
      </c>
      <c r="D2096">
        <v>-6000</v>
      </c>
      <c r="E2096">
        <v>15000</v>
      </c>
      <c r="F2096">
        <v>24000</v>
      </c>
      <c r="G2096">
        <v>-9000</v>
      </c>
      <c r="H2096">
        <v>-9000</v>
      </c>
      <c r="I2096">
        <v>-9000</v>
      </c>
    </row>
    <row r="2097" spans="1:9" x14ac:dyDescent="0.3">
      <c r="A2097" s="48" t="s">
        <v>42</v>
      </c>
      <c r="C2097">
        <v>-6000</v>
      </c>
      <c r="D2097">
        <v>-7000</v>
      </c>
      <c r="E2097">
        <v>14000</v>
      </c>
      <c r="F2097">
        <v>23000</v>
      </c>
      <c r="G2097">
        <v>-10000</v>
      </c>
      <c r="H2097">
        <v>-10000</v>
      </c>
      <c r="I2097">
        <v>-10000</v>
      </c>
    </row>
    <row r="2098" spans="1:9" x14ac:dyDescent="0.3">
      <c r="A2098" s="48" t="s">
        <v>43</v>
      </c>
      <c r="C2098">
        <v>-5000</v>
      </c>
      <c r="D2098">
        <v>-8000</v>
      </c>
      <c r="E2098">
        <v>13000</v>
      </c>
      <c r="F2098">
        <v>22000</v>
      </c>
      <c r="G2098">
        <v>-11000</v>
      </c>
      <c r="H2098">
        <v>-11000</v>
      </c>
      <c r="I2098">
        <v>-11000</v>
      </c>
    </row>
    <row r="2099" spans="1:9" x14ac:dyDescent="0.3">
      <c r="A2099" s="48" t="s">
        <v>44</v>
      </c>
      <c r="C2099">
        <v>-4000</v>
      </c>
      <c r="D2099">
        <v>-9000</v>
      </c>
      <c r="E2099">
        <v>12000</v>
      </c>
      <c r="F2099">
        <v>21000</v>
      </c>
      <c r="G2099">
        <v>-12000</v>
      </c>
      <c r="H2099">
        <v>-12000</v>
      </c>
      <c r="I2099">
        <v>-12000</v>
      </c>
    </row>
    <row r="2100" spans="1:9" x14ac:dyDescent="0.3">
      <c r="A2100" s="48" t="s">
        <v>54</v>
      </c>
      <c r="C2100">
        <v>-3000</v>
      </c>
      <c r="D2100">
        <v>-10000</v>
      </c>
      <c r="E2100">
        <v>11000</v>
      </c>
      <c r="F2100">
        <v>20000</v>
      </c>
      <c r="G2100">
        <v>-13000</v>
      </c>
      <c r="H2100">
        <v>-13000</v>
      </c>
      <c r="I2100">
        <v>-13000</v>
      </c>
    </row>
    <row r="2101" spans="1:9" x14ac:dyDescent="0.3">
      <c r="A2101" s="48" t="s">
        <v>55</v>
      </c>
      <c r="C2101">
        <v>-2000</v>
      </c>
      <c r="D2101">
        <v>-11000</v>
      </c>
      <c r="E2101">
        <v>10000</v>
      </c>
      <c r="F2101">
        <v>19000</v>
      </c>
      <c r="G2101">
        <v>-14000</v>
      </c>
      <c r="H2101">
        <v>-14000</v>
      </c>
      <c r="I2101">
        <v>-14000</v>
      </c>
    </row>
    <row r="2102" spans="1:9" x14ac:dyDescent="0.3">
      <c r="A2102" s="48" t="s">
        <v>56</v>
      </c>
      <c r="C2102">
        <v>-1000</v>
      </c>
      <c r="D2102">
        <v>-12000</v>
      </c>
      <c r="E2102">
        <v>9000</v>
      </c>
      <c r="F2102">
        <v>18000</v>
      </c>
      <c r="G2102">
        <v>-15000</v>
      </c>
      <c r="H2102">
        <v>-15000</v>
      </c>
      <c r="I2102">
        <v>-15000</v>
      </c>
    </row>
    <row r="2103" spans="1:9" x14ac:dyDescent="0.3">
      <c r="A2103" s="48" t="s">
        <v>57</v>
      </c>
      <c r="C2103">
        <v>0</v>
      </c>
      <c r="D2103">
        <v>-13000</v>
      </c>
      <c r="E2103">
        <v>8000</v>
      </c>
      <c r="F2103">
        <v>17000</v>
      </c>
      <c r="G2103">
        <v>-16000</v>
      </c>
      <c r="H2103">
        <v>-16000</v>
      </c>
      <c r="I2103">
        <v>-16000</v>
      </c>
    </row>
    <row r="2104" spans="1:9" x14ac:dyDescent="0.3">
      <c r="A2104" s="48" t="s">
        <v>58</v>
      </c>
      <c r="C2104">
        <v>1000</v>
      </c>
      <c r="D2104">
        <v>-14000</v>
      </c>
      <c r="E2104">
        <v>7000</v>
      </c>
      <c r="F2104">
        <v>16000</v>
      </c>
      <c r="G2104">
        <v>-17000</v>
      </c>
      <c r="H2104">
        <v>-17000</v>
      </c>
      <c r="I2104">
        <v>-17000</v>
      </c>
    </row>
    <row r="2105" spans="1:9" x14ac:dyDescent="0.3">
      <c r="A2105" s="15" t="s">
        <v>46</v>
      </c>
    </row>
    <row r="2106" spans="1:9" x14ac:dyDescent="0.3">
      <c r="A2106" s="48" t="s">
        <v>35</v>
      </c>
      <c r="C2106">
        <v>-9000</v>
      </c>
      <c r="D2106">
        <v>-3000</v>
      </c>
      <c r="E2106">
        <v>15000</v>
      </c>
      <c r="F2106">
        <v>24000</v>
      </c>
      <c r="G2106">
        <v>-9000</v>
      </c>
      <c r="H2106">
        <v>-9000</v>
      </c>
      <c r="I2106">
        <v>-9000</v>
      </c>
    </row>
    <row r="2107" spans="1:9" x14ac:dyDescent="0.3">
      <c r="A2107" s="48" t="s">
        <v>41</v>
      </c>
      <c r="C2107">
        <v>-8000</v>
      </c>
      <c r="D2107">
        <v>-4000</v>
      </c>
      <c r="E2107">
        <v>14000</v>
      </c>
      <c r="F2107">
        <v>23000</v>
      </c>
      <c r="G2107">
        <v>-10000</v>
      </c>
      <c r="H2107">
        <v>-10000</v>
      </c>
      <c r="I2107">
        <v>-10000</v>
      </c>
    </row>
    <row r="2108" spans="1:9" x14ac:dyDescent="0.3">
      <c r="A2108" s="48" t="s">
        <v>42</v>
      </c>
      <c r="C2108">
        <v>-7000</v>
      </c>
      <c r="D2108">
        <v>-5000</v>
      </c>
      <c r="E2108">
        <v>13000</v>
      </c>
      <c r="F2108">
        <v>22000</v>
      </c>
      <c r="G2108">
        <v>-11000</v>
      </c>
      <c r="H2108">
        <v>-11000</v>
      </c>
      <c r="I2108">
        <v>-11000</v>
      </c>
    </row>
    <row r="2109" spans="1:9" x14ac:dyDescent="0.3">
      <c r="A2109" s="48" t="s">
        <v>43</v>
      </c>
      <c r="C2109">
        <v>-6000</v>
      </c>
      <c r="D2109">
        <v>-6000</v>
      </c>
      <c r="E2109">
        <v>12000</v>
      </c>
      <c r="F2109">
        <v>21000</v>
      </c>
      <c r="G2109">
        <v>-12000</v>
      </c>
      <c r="H2109">
        <v>-12000</v>
      </c>
      <c r="I2109">
        <v>-12000</v>
      </c>
    </row>
    <row r="2110" spans="1:9" x14ac:dyDescent="0.3">
      <c r="A2110" s="48" t="s">
        <v>44</v>
      </c>
      <c r="C2110">
        <v>-5000</v>
      </c>
      <c r="D2110">
        <v>-7000</v>
      </c>
      <c r="E2110">
        <v>11000</v>
      </c>
      <c r="F2110">
        <v>20000</v>
      </c>
      <c r="G2110">
        <v>-13000</v>
      </c>
      <c r="H2110">
        <v>-13000</v>
      </c>
      <c r="I2110">
        <v>-13000</v>
      </c>
    </row>
    <row r="2111" spans="1:9" x14ac:dyDescent="0.3">
      <c r="A2111" s="48" t="s">
        <v>54</v>
      </c>
      <c r="C2111">
        <v>-4000</v>
      </c>
      <c r="D2111">
        <v>-8000</v>
      </c>
      <c r="E2111">
        <v>10000</v>
      </c>
      <c r="F2111">
        <v>19000</v>
      </c>
      <c r="G2111">
        <v>-14000</v>
      </c>
      <c r="H2111">
        <v>-14000</v>
      </c>
      <c r="I2111">
        <v>-14000</v>
      </c>
    </row>
    <row r="2112" spans="1:9" x14ac:dyDescent="0.3">
      <c r="A2112" s="48" t="s">
        <v>55</v>
      </c>
      <c r="C2112">
        <v>-3000</v>
      </c>
      <c r="D2112">
        <v>-9000</v>
      </c>
      <c r="E2112">
        <v>9000</v>
      </c>
      <c r="F2112">
        <v>18000</v>
      </c>
      <c r="G2112">
        <v>-15000</v>
      </c>
      <c r="H2112">
        <v>-15000</v>
      </c>
      <c r="I2112">
        <v>-15000</v>
      </c>
    </row>
    <row r="2113" spans="1:9" x14ac:dyDescent="0.3">
      <c r="A2113" s="48" t="s">
        <v>56</v>
      </c>
      <c r="C2113">
        <v>-2000</v>
      </c>
      <c r="D2113">
        <v>-10000</v>
      </c>
      <c r="E2113">
        <v>8000</v>
      </c>
      <c r="F2113">
        <v>17000</v>
      </c>
      <c r="G2113">
        <v>-16000</v>
      </c>
      <c r="H2113">
        <v>-16000</v>
      </c>
      <c r="I2113">
        <v>-16000</v>
      </c>
    </row>
    <row r="2114" spans="1:9" x14ac:dyDescent="0.3">
      <c r="A2114" s="48" t="s">
        <v>57</v>
      </c>
      <c r="C2114">
        <v>-1000</v>
      </c>
      <c r="D2114">
        <v>-11000</v>
      </c>
      <c r="E2114">
        <v>7000</v>
      </c>
      <c r="F2114">
        <v>16000</v>
      </c>
      <c r="G2114">
        <v>-17000</v>
      </c>
      <c r="H2114">
        <v>-17000</v>
      </c>
      <c r="I2114">
        <v>-17000</v>
      </c>
    </row>
    <row r="2115" spans="1:9" x14ac:dyDescent="0.3">
      <c r="A2115" s="48" t="s">
        <v>58</v>
      </c>
      <c r="C2115">
        <v>0</v>
      </c>
      <c r="D2115">
        <v>-12000</v>
      </c>
      <c r="E2115">
        <v>6000</v>
      </c>
      <c r="F2115">
        <v>15000</v>
      </c>
      <c r="G2115">
        <v>-18000</v>
      </c>
      <c r="H2115">
        <v>-18000</v>
      </c>
      <c r="I2115">
        <v>-18000</v>
      </c>
    </row>
    <row r="2116" spans="1:9" x14ac:dyDescent="0.3">
      <c r="A2116" s="15" t="s">
        <v>47</v>
      </c>
    </row>
    <row r="2117" spans="1:9" x14ac:dyDescent="0.3">
      <c r="A2117" s="48" t="s">
        <v>35</v>
      </c>
      <c r="C2117">
        <v>-10000</v>
      </c>
      <c r="D2117">
        <v>-1000</v>
      </c>
      <c r="E2117">
        <v>14000</v>
      </c>
      <c r="F2117">
        <v>23000</v>
      </c>
      <c r="G2117">
        <v>-10000</v>
      </c>
      <c r="H2117">
        <v>-10000</v>
      </c>
      <c r="I2117">
        <v>-10000</v>
      </c>
    </row>
    <row r="2118" spans="1:9" x14ac:dyDescent="0.3">
      <c r="A2118" s="48" t="s">
        <v>41</v>
      </c>
      <c r="C2118">
        <v>-9000</v>
      </c>
      <c r="D2118">
        <v>-2000</v>
      </c>
      <c r="E2118">
        <v>13000</v>
      </c>
      <c r="F2118">
        <v>22000</v>
      </c>
      <c r="G2118">
        <v>-11000</v>
      </c>
      <c r="H2118">
        <v>-11000</v>
      </c>
      <c r="I2118">
        <v>-11000</v>
      </c>
    </row>
    <row r="2119" spans="1:9" x14ac:dyDescent="0.3">
      <c r="A2119" s="48" t="s">
        <v>42</v>
      </c>
      <c r="C2119">
        <v>-8000</v>
      </c>
      <c r="D2119">
        <v>-3000</v>
      </c>
      <c r="E2119">
        <v>12000</v>
      </c>
      <c r="F2119">
        <v>21000</v>
      </c>
      <c r="G2119">
        <v>-12000</v>
      </c>
      <c r="H2119">
        <v>-12000</v>
      </c>
      <c r="I2119">
        <v>-12000</v>
      </c>
    </row>
    <row r="2120" spans="1:9" x14ac:dyDescent="0.3">
      <c r="A2120" s="48" t="s">
        <v>43</v>
      </c>
      <c r="C2120">
        <v>-7000</v>
      </c>
      <c r="D2120">
        <v>-4000</v>
      </c>
      <c r="E2120">
        <v>11000</v>
      </c>
      <c r="F2120">
        <v>20000</v>
      </c>
      <c r="G2120">
        <v>-13000</v>
      </c>
      <c r="H2120">
        <v>-13000</v>
      </c>
      <c r="I2120">
        <v>-13000</v>
      </c>
    </row>
    <row r="2121" spans="1:9" x14ac:dyDescent="0.3">
      <c r="A2121" s="48" t="s">
        <v>44</v>
      </c>
      <c r="C2121">
        <v>-6000</v>
      </c>
      <c r="D2121">
        <v>-5000</v>
      </c>
      <c r="E2121">
        <v>10000</v>
      </c>
      <c r="F2121">
        <v>19000</v>
      </c>
      <c r="G2121">
        <v>-14000</v>
      </c>
      <c r="H2121">
        <v>-14000</v>
      </c>
      <c r="I2121">
        <v>-14000</v>
      </c>
    </row>
    <row r="2122" spans="1:9" x14ac:dyDescent="0.3">
      <c r="A2122" s="48" t="s">
        <v>54</v>
      </c>
      <c r="C2122">
        <v>-5000</v>
      </c>
      <c r="D2122">
        <v>-6000</v>
      </c>
      <c r="E2122">
        <v>9000</v>
      </c>
      <c r="F2122">
        <v>18000</v>
      </c>
      <c r="G2122">
        <v>-15000</v>
      </c>
      <c r="H2122">
        <v>-15000</v>
      </c>
      <c r="I2122">
        <v>-15000</v>
      </c>
    </row>
    <row r="2123" spans="1:9" x14ac:dyDescent="0.3">
      <c r="A2123" s="48" t="s">
        <v>55</v>
      </c>
      <c r="C2123">
        <v>-4000</v>
      </c>
      <c r="D2123">
        <v>-7000</v>
      </c>
      <c r="E2123">
        <v>8000</v>
      </c>
      <c r="F2123">
        <v>17000</v>
      </c>
      <c r="G2123">
        <v>-16000</v>
      </c>
      <c r="H2123">
        <v>-16000</v>
      </c>
      <c r="I2123">
        <v>-16000</v>
      </c>
    </row>
    <row r="2124" spans="1:9" x14ac:dyDescent="0.3">
      <c r="A2124" s="48" t="s">
        <v>56</v>
      </c>
      <c r="C2124">
        <v>-3000</v>
      </c>
      <c r="D2124">
        <v>-8000</v>
      </c>
      <c r="E2124">
        <v>7000</v>
      </c>
      <c r="F2124">
        <v>16000</v>
      </c>
      <c r="G2124">
        <v>-17000</v>
      </c>
      <c r="H2124">
        <v>-17000</v>
      </c>
      <c r="I2124">
        <v>-17000</v>
      </c>
    </row>
    <row r="2125" spans="1:9" x14ac:dyDescent="0.3">
      <c r="A2125" s="48" t="s">
        <v>57</v>
      </c>
      <c r="C2125">
        <v>-2000</v>
      </c>
      <c r="D2125">
        <v>-9000</v>
      </c>
      <c r="E2125">
        <v>6000</v>
      </c>
      <c r="F2125">
        <v>15000</v>
      </c>
      <c r="G2125">
        <v>-18000</v>
      </c>
      <c r="H2125">
        <v>-18000</v>
      </c>
      <c r="I2125">
        <v>-18000</v>
      </c>
    </row>
    <row r="2126" spans="1:9" x14ac:dyDescent="0.3">
      <c r="A2126" s="48" t="s">
        <v>58</v>
      </c>
      <c r="C2126">
        <v>-1000</v>
      </c>
      <c r="D2126">
        <v>-10000</v>
      </c>
      <c r="E2126">
        <v>5000</v>
      </c>
      <c r="F2126">
        <v>14000</v>
      </c>
      <c r="G2126">
        <v>-19000</v>
      </c>
      <c r="H2126">
        <v>-19000</v>
      </c>
      <c r="I2126">
        <v>-19000</v>
      </c>
    </row>
    <row r="2127" spans="1:9" x14ac:dyDescent="0.3">
      <c r="A2127" s="15" t="s">
        <v>48</v>
      </c>
    </row>
    <row r="2128" spans="1:9" x14ac:dyDescent="0.3">
      <c r="A2128" s="48" t="s">
        <v>35</v>
      </c>
      <c r="C2128">
        <v>-11000</v>
      </c>
      <c r="D2128">
        <v>1000</v>
      </c>
      <c r="E2128">
        <v>13000</v>
      </c>
      <c r="F2128">
        <v>22000</v>
      </c>
      <c r="G2128">
        <v>-11000</v>
      </c>
      <c r="H2128">
        <v>-11000</v>
      </c>
      <c r="I2128">
        <v>-11000</v>
      </c>
    </row>
    <row r="2129" spans="1:9" x14ac:dyDescent="0.3">
      <c r="A2129" s="48" t="s">
        <v>41</v>
      </c>
      <c r="C2129">
        <v>-10000</v>
      </c>
      <c r="D2129">
        <v>0</v>
      </c>
      <c r="E2129">
        <v>12000</v>
      </c>
      <c r="F2129">
        <v>21000</v>
      </c>
      <c r="G2129">
        <v>-12000</v>
      </c>
      <c r="H2129">
        <v>-12000</v>
      </c>
      <c r="I2129">
        <v>-12000</v>
      </c>
    </row>
    <row r="2130" spans="1:9" x14ac:dyDescent="0.3">
      <c r="A2130" s="48" t="s">
        <v>42</v>
      </c>
      <c r="C2130">
        <v>-9000</v>
      </c>
      <c r="D2130">
        <v>-1000</v>
      </c>
      <c r="E2130">
        <v>11000</v>
      </c>
      <c r="F2130">
        <v>20000</v>
      </c>
      <c r="G2130">
        <v>-13000</v>
      </c>
      <c r="H2130">
        <v>-13000</v>
      </c>
      <c r="I2130">
        <v>-13000</v>
      </c>
    </row>
    <row r="2131" spans="1:9" x14ac:dyDescent="0.3">
      <c r="A2131" s="48" t="s">
        <v>43</v>
      </c>
      <c r="C2131">
        <v>-8000</v>
      </c>
      <c r="D2131">
        <v>-2000</v>
      </c>
      <c r="E2131">
        <v>10000</v>
      </c>
      <c r="F2131">
        <v>19000</v>
      </c>
      <c r="G2131">
        <v>-14000</v>
      </c>
      <c r="H2131">
        <v>-14000</v>
      </c>
      <c r="I2131">
        <v>-14000</v>
      </c>
    </row>
    <row r="2132" spans="1:9" x14ac:dyDescent="0.3">
      <c r="A2132" s="48" t="s">
        <v>44</v>
      </c>
      <c r="C2132">
        <v>-7000</v>
      </c>
      <c r="D2132">
        <v>-3000</v>
      </c>
      <c r="E2132">
        <v>9000</v>
      </c>
      <c r="F2132">
        <v>18000</v>
      </c>
      <c r="G2132">
        <v>-15000</v>
      </c>
      <c r="H2132">
        <v>-15000</v>
      </c>
      <c r="I2132">
        <v>-15000</v>
      </c>
    </row>
    <row r="2133" spans="1:9" x14ac:dyDescent="0.3">
      <c r="A2133" s="48" t="s">
        <v>54</v>
      </c>
      <c r="C2133">
        <v>-6000</v>
      </c>
      <c r="D2133">
        <v>-4000</v>
      </c>
      <c r="E2133">
        <v>8000</v>
      </c>
      <c r="F2133">
        <v>17000</v>
      </c>
      <c r="G2133">
        <v>-16000</v>
      </c>
      <c r="H2133">
        <v>-16000</v>
      </c>
      <c r="I2133">
        <v>-16000</v>
      </c>
    </row>
    <row r="2134" spans="1:9" x14ac:dyDescent="0.3">
      <c r="A2134" s="48" t="s">
        <v>55</v>
      </c>
      <c r="C2134">
        <v>-5000</v>
      </c>
      <c r="D2134">
        <v>-5000</v>
      </c>
      <c r="E2134">
        <v>7000</v>
      </c>
      <c r="F2134">
        <v>16000</v>
      </c>
      <c r="G2134">
        <v>-17000</v>
      </c>
      <c r="H2134">
        <v>-17000</v>
      </c>
      <c r="I2134">
        <v>-17000</v>
      </c>
    </row>
    <row r="2135" spans="1:9" x14ac:dyDescent="0.3">
      <c r="A2135" s="48" t="s">
        <v>56</v>
      </c>
      <c r="C2135">
        <v>-4000</v>
      </c>
      <c r="D2135">
        <v>-6000</v>
      </c>
      <c r="E2135">
        <v>6000</v>
      </c>
      <c r="F2135">
        <v>15000</v>
      </c>
      <c r="G2135">
        <v>-18000</v>
      </c>
      <c r="H2135">
        <v>-18000</v>
      </c>
      <c r="I2135">
        <v>-18000</v>
      </c>
    </row>
    <row r="2136" spans="1:9" x14ac:dyDescent="0.3">
      <c r="A2136" s="48" t="s">
        <v>57</v>
      </c>
      <c r="C2136">
        <v>-3000</v>
      </c>
      <c r="D2136">
        <v>-7000</v>
      </c>
      <c r="E2136">
        <v>5000</v>
      </c>
      <c r="F2136">
        <v>14000</v>
      </c>
      <c r="G2136">
        <v>-19000</v>
      </c>
      <c r="H2136">
        <v>-19000</v>
      </c>
      <c r="I2136">
        <v>-19000</v>
      </c>
    </row>
    <row r="2137" spans="1:9" x14ac:dyDescent="0.3">
      <c r="A2137" s="48" t="s">
        <v>58</v>
      </c>
      <c r="C2137">
        <v>-2000</v>
      </c>
      <c r="D2137">
        <v>-8000</v>
      </c>
      <c r="E2137">
        <v>4000</v>
      </c>
      <c r="F2137">
        <v>13000</v>
      </c>
      <c r="G2137">
        <v>-20000</v>
      </c>
      <c r="H2137">
        <v>-20000</v>
      </c>
      <c r="I2137">
        <v>-20000</v>
      </c>
    </row>
    <row r="2138" spans="1:9" x14ac:dyDescent="0.3">
      <c r="A2138" s="15" t="s">
        <v>59</v>
      </c>
    </row>
    <row r="2139" spans="1:9" x14ac:dyDescent="0.3">
      <c r="A2139" s="48" t="s">
        <v>35</v>
      </c>
      <c r="C2139">
        <v>-12000</v>
      </c>
      <c r="D2139">
        <v>3000</v>
      </c>
      <c r="E2139">
        <v>12000</v>
      </c>
      <c r="F2139">
        <v>21000</v>
      </c>
      <c r="G2139">
        <v>-12000</v>
      </c>
      <c r="H2139">
        <v>-12000</v>
      </c>
      <c r="I2139">
        <v>-12000</v>
      </c>
    </row>
    <row r="2140" spans="1:9" x14ac:dyDescent="0.3">
      <c r="A2140" s="48" t="s">
        <v>41</v>
      </c>
      <c r="C2140">
        <v>-11000</v>
      </c>
      <c r="D2140">
        <v>2000</v>
      </c>
      <c r="E2140">
        <v>11000</v>
      </c>
      <c r="F2140">
        <v>20000</v>
      </c>
      <c r="G2140">
        <v>-13000</v>
      </c>
      <c r="H2140">
        <v>-13000</v>
      </c>
      <c r="I2140">
        <v>-13000</v>
      </c>
    </row>
    <row r="2141" spans="1:9" x14ac:dyDescent="0.3">
      <c r="A2141" s="48" t="s">
        <v>42</v>
      </c>
      <c r="C2141">
        <v>-10000</v>
      </c>
      <c r="D2141">
        <v>1000</v>
      </c>
      <c r="E2141">
        <v>10000</v>
      </c>
      <c r="F2141">
        <v>19000</v>
      </c>
      <c r="G2141">
        <v>-14000</v>
      </c>
      <c r="H2141">
        <v>-14000</v>
      </c>
      <c r="I2141">
        <v>-14000</v>
      </c>
    </row>
    <row r="2142" spans="1:9" x14ac:dyDescent="0.3">
      <c r="A2142" s="48" t="s">
        <v>43</v>
      </c>
      <c r="C2142">
        <v>-9000</v>
      </c>
      <c r="D2142">
        <v>0</v>
      </c>
      <c r="E2142">
        <v>9000</v>
      </c>
      <c r="F2142">
        <v>18000</v>
      </c>
      <c r="G2142">
        <v>-15000</v>
      </c>
      <c r="H2142">
        <v>-15000</v>
      </c>
      <c r="I2142">
        <v>-15000</v>
      </c>
    </row>
    <row r="2143" spans="1:9" x14ac:dyDescent="0.3">
      <c r="A2143" s="48" t="s">
        <v>44</v>
      </c>
      <c r="C2143">
        <v>-8000</v>
      </c>
      <c r="D2143">
        <v>-1000</v>
      </c>
      <c r="E2143">
        <v>8000</v>
      </c>
      <c r="F2143">
        <v>17000</v>
      </c>
      <c r="G2143">
        <v>-16000</v>
      </c>
      <c r="H2143">
        <v>-16000</v>
      </c>
      <c r="I2143">
        <v>-16000</v>
      </c>
    </row>
    <row r="2144" spans="1:9" x14ac:dyDescent="0.3">
      <c r="A2144" s="48" t="s">
        <v>54</v>
      </c>
      <c r="C2144">
        <v>-7000</v>
      </c>
      <c r="D2144">
        <v>-2000</v>
      </c>
      <c r="E2144">
        <v>7000</v>
      </c>
      <c r="F2144">
        <v>16000</v>
      </c>
      <c r="G2144">
        <v>-17000</v>
      </c>
      <c r="H2144">
        <v>-17000</v>
      </c>
      <c r="I2144">
        <v>-17000</v>
      </c>
    </row>
    <row r="2145" spans="1:9" x14ac:dyDescent="0.3">
      <c r="A2145" s="48" t="s">
        <v>55</v>
      </c>
      <c r="C2145">
        <v>-6000</v>
      </c>
      <c r="D2145">
        <v>-3000</v>
      </c>
      <c r="E2145">
        <v>6000</v>
      </c>
      <c r="F2145">
        <v>15000</v>
      </c>
      <c r="G2145">
        <v>-18000</v>
      </c>
      <c r="H2145">
        <v>-18000</v>
      </c>
      <c r="I2145">
        <v>-18000</v>
      </c>
    </row>
    <row r="2146" spans="1:9" x14ac:dyDescent="0.3">
      <c r="A2146" s="48" t="s">
        <v>56</v>
      </c>
      <c r="C2146">
        <v>-5000</v>
      </c>
      <c r="D2146">
        <v>-4000</v>
      </c>
      <c r="E2146">
        <v>5000</v>
      </c>
      <c r="F2146">
        <v>14000</v>
      </c>
      <c r="G2146">
        <v>-19000</v>
      </c>
      <c r="H2146">
        <v>-19000</v>
      </c>
      <c r="I2146">
        <v>-19000</v>
      </c>
    </row>
    <row r="2147" spans="1:9" x14ac:dyDescent="0.3">
      <c r="A2147" s="48" t="s">
        <v>57</v>
      </c>
      <c r="C2147">
        <v>-4000</v>
      </c>
      <c r="D2147">
        <v>-5000</v>
      </c>
      <c r="E2147">
        <v>4000</v>
      </c>
      <c r="F2147">
        <v>13000</v>
      </c>
      <c r="G2147">
        <v>-20000</v>
      </c>
      <c r="H2147">
        <v>-20000</v>
      </c>
      <c r="I2147">
        <v>-20000</v>
      </c>
    </row>
    <row r="2148" spans="1:9" x14ac:dyDescent="0.3">
      <c r="A2148" s="48" t="s">
        <v>58</v>
      </c>
      <c r="C2148">
        <v>-3000</v>
      </c>
      <c r="D2148">
        <v>-6000</v>
      </c>
      <c r="E2148">
        <v>3000</v>
      </c>
      <c r="F2148">
        <v>12000</v>
      </c>
      <c r="G2148">
        <v>-21000</v>
      </c>
      <c r="H2148">
        <v>-21000</v>
      </c>
      <c r="I2148">
        <v>-21000</v>
      </c>
    </row>
    <row r="2149" spans="1:9" x14ac:dyDescent="0.3">
      <c r="A2149" s="15" t="s">
        <v>60</v>
      </c>
    </row>
    <row r="2150" spans="1:9" x14ac:dyDescent="0.3">
      <c r="A2150" s="48" t="s">
        <v>35</v>
      </c>
      <c r="C2150">
        <v>-13000</v>
      </c>
      <c r="D2150">
        <v>5000</v>
      </c>
      <c r="E2150">
        <v>11000</v>
      </c>
      <c r="F2150">
        <v>20000</v>
      </c>
      <c r="G2150">
        <v>-13000</v>
      </c>
      <c r="H2150">
        <v>-13000</v>
      </c>
      <c r="I2150">
        <v>-13000</v>
      </c>
    </row>
    <row r="2151" spans="1:9" x14ac:dyDescent="0.3">
      <c r="A2151" s="48" t="s">
        <v>41</v>
      </c>
      <c r="C2151">
        <v>-12000</v>
      </c>
      <c r="D2151">
        <v>4000</v>
      </c>
      <c r="E2151">
        <v>10000</v>
      </c>
      <c r="F2151">
        <v>19000</v>
      </c>
      <c r="G2151">
        <v>-14000</v>
      </c>
      <c r="H2151">
        <v>-14000</v>
      </c>
      <c r="I2151">
        <v>-14000</v>
      </c>
    </row>
    <row r="2152" spans="1:9" x14ac:dyDescent="0.3">
      <c r="A2152" s="48" t="s">
        <v>42</v>
      </c>
      <c r="C2152">
        <v>-11000</v>
      </c>
      <c r="D2152">
        <v>3000</v>
      </c>
      <c r="E2152">
        <v>9000</v>
      </c>
      <c r="F2152">
        <v>18000</v>
      </c>
      <c r="G2152">
        <v>-15000</v>
      </c>
      <c r="H2152">
        <v>-15000</v>
      </c>
      <c r="I2152">
        <v>-15000</v>
      </c>
    </row>
    <row r="2153" spans="1:9" x14ac:dyDescent="0.3">
      <c r="A2153" s="48" t="s">
        <v>43</v>
      </c>
      <c r="C2153">
        <v>-10000</v>
      </c>
      <c r="D2153">
        <v>2000</v>
      </c>
      <c r="E2153">
        <v>8000</v>
      </c>
      <c r="F2153">
        <v>17000</v>
      </c>
      <c r="G2153">
        <v>-16000</v>
      </c>
      <c r="H2153">
        <v>-16000</v>
      </c>
      <c r="I2153">
        <v>-16000</v>
      </c>
    </row>
    <row r="2154" spans="1:9" x14ac:dyDescent="0.3">
      <c r="A2154" s="48" t="s">
        <v>44</v>
      </c>
      <c r="C2154">
        <v>-9000</v>
      </c>
      <c r="D2154">
        <v>1000</v>
      </c>
      <c r="E2154">
        <v>7000</v>
      </c>
      <c r="F2154">
        <v>16000</v>
      </c>
      <c r="G2154">
        <v>-17000</v>
      </c>
      <c r="H2154">
        <v>-17000</v>
      </c>
      <c r="I2154">
        <v>-17000</v>
      </c>
    </row>
    <row r="2155" spans="1:9" x14ac:dyDescent="0.3">
      <c r="A2155" s="48" t="s">
        <v>54</v>
      </c>
      <c r="C2155">
        <v>-8000</v>
      </c>
      <c r="D2155">
        <v>0</v>
      </c>
      <c r="E2155">
        <v>6000</v>
      </c>
      <c r="F2155">
        <v>15000</v>
      </c>
      <c r="G2155">
        <v>-18000</v>
      </c>
      <c r="H2155">
        <v>-18000</v>
      </c>
      <c r="I2155">
        <v>-18000</v>
      </c>
    </row>
    <row r="2156" spans="1:9" x14ac:dyDescent="0.3">
      <c r="A2156" s="48" t="s">
        <v>55</v>
      </c>
      <c r="C2156">
        <v>-7000</v>
      </c>
      <c r="D2156">
        <v>-1000</v>
      </c>
      <c r="E2156">
        <v>5000</v>
      </c>
      <c r="F2156">
        <v>14000</v>
      </c>
      <c r="G2156">
        <v>-19000</v>
      </c>
      <c r="H2156">
        <v>-19000</v>
      </c>
      <c r="I2156">
        <v>-19000</v>
      </c>
    </row>
    <row r="2157" spans="1:9" x14ac:dyDescent="0.3">
      <c r="A2157" s="48" t="s">
        <v>56</v>
      </c>
      <c r="C2157">
        <v>-6000</v>
      </c>
      <c r="D2157">
        <v>-2000</v>
      </c>
      <c r="E2157">
        <v>4000</v>
      </c>
      <c r="F2157">
        <v>13000</v>
      </c>
      <c r="G2157">
        <v>-20000</v>
      </c>
      <c r="H2157">
        <v>-20000</v>
      </c>
      <c r="I2157">
        <v>-20000</v>
      </c>
    </row>
    <row r="2158" spans="1:9" x14ac:dyDescent="0.3">
      <c r="A2158" s="48" t="s">
        <v>57</v>
      </c>
      <c r="C2158">
        <v>-5000</v>
      </c>
      <c r="D2158">
        <v>-3000</v>
      </c>
      <c r="E2158">
        <v>3000</v>
      </c>
      <c r="F2158">
        <v>12000</v>
      </c>
      <c r="G2158">
        <v>-21000</v>
      </c>
      <c r="H2158">
        <v>-21000</v>
      </c>
      <c r="I2158">
        <v>-21000</v>
      </c>
    </row>
    <row r="2159" spans="1:9" x14ac:dyDescent="0.3">
      <c r="A2159" s="48" t="s">
        <v>58</v>
      </c>
      <c r="C2159">
        <v>-4000</v>
      </c>
      <c r="D2159">
        <v>-4000</v>
      </c>
      <c r="E2159">
        <v>2000</v>
      </c>
      <c r="F2159">
        <v>11000</v>
      </c>
      <c r="G2159">
        <v>-22000</v>
      </c>
      <c r="H2159">
        <v>-22000</v>
      </c>
      <c r="I2159">
        <v>-22000</v>
      </c>
    </row>
    <row r="2160" spans="1:9" x14ac:dyDescent="0.3">
      <c r="A2160" s="15" t="s">
        <v>61</v>
      </c>
    </row>
    <row r="2161" spans="1:9" x14ac:dyDescent="0.3">
      <c r="A2161" s="48" t="s">
        <v>35</v>
      </c>
      <c r="C2161">
        <v>-14000</v>
      </c>
      <c r="D2161">
        <v>7000</v>
      </c>
      <c r="E2161">
        <v>10000</v>
      </c>
      <c r="F2161">
        <v>19000</v>
      </c>
      <c r="G2161">
        <v>-14000</v>
      </c>
      <c r="H2161">
        <v>-14000</v>
      </c>
      <c r="I2161">
        <v>-14000</v>
      </c>
    </row>
    <row r="2162" spans="1:9" x14ac:dyDescent="0.3">
      <c r="A2162" s="48" t="s">
        <v>41</v>
      </c>
      <c r="C2162">
        <v>-13000</v>
      </c>
      <c r="D2162">
        <v>6000</v>
      </c>
      <c r="E2162">
        <v>9000</v>
      </c>
      <c r="F2162">
        <v>18000</v>
      </c>
      <c r="G2162">
        <v>-15000</v>
      </c>
      <c r="H2162">
        <v>-15000</v>
      </c>
      <c r="I2162">
        <v>-15000</v>
      </c>
    </row>
    <row r="2163" spans="1:9" x14ac:dyDescent="0.3">
      <c r="A2163" s="48" t="s">
        <v>42</v>
      </c>
      <c r="C2163">
        <v>-12000</v>
      </c>
      <c r="D2163">
        <v>5000</v>
      </c>
      <c r="E2163">
        <v>8000</v>
      </c>
      <c r="F2163">
        <v>17000</v>
      </c>
      <c r="G2163">
        <v>-16000</v>
      </c>
      <c r="H2163">
        <v>-16000</v>
      </c>
      <c r="I2163">
        <v>-16000</v>
      </c>
    </row>
    <row r="2164" spans="1:9" x14ac:dyDescent="0.3">
      <c r="A2164" s="48" t="s">
        <v>43</v>
      </c>
      <c r="C2164">
        <v>-11000</v>
      </c>
      <c r="D2164">
        <v>4000</v>
      </c>
      <c r="E2164">
        <v>7000</v>
      </c>
      <c r="F2164">
        <v>16000</v>
      </c>
      <c r="G2164">
        <v>-17000</v>
      </c>
      <c r="H2164">
        <v>-17000</v>
      </c>
      <c r="I2164">
        <v>-17000</v>
      </c>
    </row>
    <row r="2165" spans="1:9" x14ac:dyDescent="0.3">
      <c r="A2165" s="48" t="s">
        <v>44</v>
      </c>
      <c r="C2165">
        <v>-10000</v>
      </c>
      <c r="D2165">
        <v>3000</v>
      </c>
      <c r="E2165">
        <v>6000</v>
      </c>
      <c r="F2165">
        <v>15000</v>
      </c>
      <c r="G2165">
        <v>-18000</v>
      </c>
      <c r="H2165">
        <v>-18000</v>
      </c>
      <c r="I2165">
        <v>-18000</v>
      </c>
    </row>
    <row r="2166" spans="1:9" x14ac:dyDescent="0.3">
      <c r="A2166" s="48" t="s">
        <v>54</v>
      </c>
      <c r="C2166">
        <v>-9000</v>
      </c>
      <c r="D2166">
        <v>2000</v>
      </c>
      <c r="E2166">
        <v>5000</v>
      </c>
      <c r="F2166">
        <v>14000</v>
      </c>
      <c r="G2166">
        <v>-19000</v>
      </c>
      <c r="H2166">
        <v>-19000</v>
      </c>
      <c r="I2166">
        <v>-19000</v>
      </c>
    </row>
    <row r="2167" spans="1:9" x14ac:dyDescent="0.3">
      <c r="A2167" s="48" t="s">
        <v>55</v>
      </c>
      <c r="C2167">
        <v>-8000</v>
      </c>
      <c r="D2167">
        <v>1000</v>
      </c>
      <c r="E2167">
        <v>4000</v>
      </c>
      <c r="F2167">
        <v>13000</v>
      </c>
      <c r="G2167">
        <v>-20000</v>
      </c>
      <c r="H2167">
        <v>-20000</v>
      </c>
      <c r="I2167">
        <v>-20000</v>
      </c>
    </row>
    <row r="2168" spans="1:9" x14ac:dyDescent="0.3">
      <c r="A2168" s="48" t="s">
        <v>56</v>
      </c>
      <c r="C2168">
        <v>-7000</v>
      </c>
      <c r="D2168">
        <v>0</v>
      </c>
      <c r="E2168">
        <v>3000</v>
      </c>
      <c r="F2168">
        <v>12000</v>
      </c>
      <c r="G2168">
        <v>-21000</v>
      </c>
      <c r="H2168">
        <v>-21000</v>
      </c>
      <c r="I2168">
        <v>-21000</v>
      </c>
    </row>
    <row r="2169" spans="1:9" x14ac:dyDescent="0.3">
      <c r="A2169" s="48" t="s">
        <v>57</v>
      </c>
      <c r="C2169">
        <v>-6000</v>
      </c>
      <c r="D2169">
        <v>-1000</v>
      </c>
      <c r="E2169">
        <v>2000</v>
      </c>
      <c r="F2169">
        <v>11000</v>
      </c>
      <c r="G2169">
        <v>-22000</v>
      </c>
      <c r="H2169">
        <v>-22000</v>
      </c>
      <c r="I2169">
        <v>-22000</v>
      </c>
    </row>
    <row r="2170" spans="1:9" x14ac:dyDescent="0.3">
      <c r="A2170" s="48" t="s">
        <v>58</v>
      </c>
      <c r="C2170">
        <v>-5000</v>
      </c>
      <c r="D2170">
        <v>-2000</v>
      </c>
      <c r="E2170">
        <v>1000</v>
      </c>
      <c r="F2170">
        <v>10000</v>
      </c>
      <c r="G2170">
        <v>-23000</v>
      </c>
      <c r="H2170">
        <v>-23000</v>
      </c>
      <c r="I2170">
        <v>-23000</v>
      </c>
    </row>
    <row r="2171" spans="1:9" x14ac:dyDescent="0.3">
      <c r="A2171" s="15" t="s">
        <v>62</v>
      </c>
    </row>
    <row r="2172" spans="1:9" x14ac:dyDescent="0.3">
      <c r="A2172" s="48" t="s">
        <v>35</v>
      </c>
      <c r="C2172">
        <v>-15000</v>
      </c>
      <c r="D2172">
        <v>9000</v>
      </c>
      <c r="E2172">
        <v>9000</v>
      </c>
      <c r="F2172">
        <v>18000</v>
      </c>
      <c r="G2172">
        <v>-15000</v>
      </c>
      <c r="H2172">
        <v>-15000</v>
      </c>
      <c r="I2172">
        <v>-15000</v>
      </c>
    </row>
    <row r="2173" spans="1:9" x14ac:dyDescent="0.3">
      <c r="A2173" s="48" t="s">
        <v>41</v>
      </c>
      <c r="C2173">
        <v>-14000</v>
      </c>
      <c r="D2173">
        <v>8000</v>
      </c>
      <c r="E2173">
        <v>8000</v>
      </c>
      <c r="F2173">
        <v>17000</v>
      </c>
      <c r="G2173">
        <v>-16000</v>
      </c>
      <c r="H2173">
        <v>-16000</v>
      </c>
      <c r="I2173">
        <v>-16000</v>
      </c>
    </row>
    <row r="2174" spans="1:9" x14ac:dyDescent="0.3">
      <c r="A2174" s="48" t="s">
        <v>42</v>
      </c>
      <c r="C2174">
        <v>-13000</v>
      </c>
      <c r="D2174">
        <v>7000</v>
      </c>
      <c r="E2174">
        <v>7000</v>
      </c>
      <c r="F2174">
        <v>16000</v>
      </c>
      <c r="G2174">
        <v>-17000</v>
      </c>
      <c r="H2174">
        <v>-17000</v>
      </c>
      <c r="I2174">
        <v>-17000</v>
      </c>
    </row>
    <row r="2175" spans="1:9" x14ac:dyDescent="0.3">
      <c r="A2175" s="48" t="s">
        <v>43</v>
      </c>
      <c r="C2175">
        <v>-12000</v>
      </c>
      <c r="D2175">
        <v>6000</v>
      </c>
      <c r="E2175">
        <v>6000</v>
      </c>
      <c r="F2175">
        <v>15000</v>
      </c>
      <c r="G2175">
        <v>-18000</v>
      </c>
      <c r="H2175">
        <v>-18000</v>
      </c>
      <c r="I2175">
        <v>-18000</v>
      </c>
    </row>
    <row r="2176" spans="1:9" x14ac:dyDescent="0.3">
      <c r="A2176" s="48" t="s">
        <v>44</v>
      </c>
      <c r="C2176">
        <v>-11000</v>
      </c>
      <c r="D2176">
        <v>5000</v>
      </c>
      <c r="E2176">
        <v>5000</v>
      </c>
      <c r="F2176">
        <v>14000</v>
      </c>
      <c r="G2176">
        <v>-19000</v>
      </c>
      <c r="H2176">
        <v>-19000</v>
      </c>
      <c r="I2176">
        <v>-19000</v>
      </c>
    </row>
    <row r="2177" spans="1:9" x14ac:dyDescent="0.3">
      <c r="A2177" s="48" t="s">
        <v>54</v>
      </c>
      <c r="C2177">
        <v>-10000</v>
      </c>
      <c r="D2177">
        <v>4000</v>
      </c>
      <c r="E2177">
        <v>4000</v>
      </c>
      <c r="F2177">
        <v>13000</v>
      </c>
      <c r="G2177">
        <v>-20000</v>
      </c>
      <c r="H2177">
        <v>-20000</v>
      </c>
      <c r="I2177">
        <v>-20000</v>
      </c>
    </row>
    <row r="2178" spans="1:9" x14ac:dyDescent="0.3">
      <c r="A2178" s="48" t="s">
        <v>55</v>
      </c>
      <c r="C2178">
        <v>-9000</v>
      </c>
      <c r="D2178">
        <v>3000</v>
      </c>
      <c r="E2178">
        <v>3000</v>
      </c>
      <c r="F2178">
        <v>12000</v>
      </c>
      <c r="G2178">
        <v>-21000</v>
      </c>
      <c r="H2178">
        <v>-21000</v>
      </c>
      <c r="I2178">
        <v>-21000</v>
      </c>
    </row>
    <row r="2179" spans="1:9" x14ac:dyDescent="0.3">
      <c r="A2179" s="48" t="s">
        <v>56</v>
      </c>
      <c r="C2179">
        <v>-8000</v>
      </c>
      <c r="D2179">
        <v>2000</v>
      </c>
      <c r="E2179">
        <v>2000</v>
      </c>
      <c r="F2179">
        <v>11000</v>
      </c>
      <c r="G2179">
        <v>-22000</v>
      </c>
      <c r="H2179">
        <v>-22000</v>
      </c>
      <c r="I2179">
        <v>-22000</v>
      </c>
    </row>
    <row r="2180" spans="1:9" x14ac:dyDescent="0.3">
      <c r="A2180" s="48" t="s">
        <v>57</v>
      </c>
      <c r="C2180">
        <v>-7000</v>
      </c>
      <c r="D2180">
        <v>1000</v>
      </c>
      <c r="E2180">
        <v>1000</v>
      </c>
      <c r="F2180">
        <v>10000</v>
      </c>
      <c r="G2180">
        <v>-23000</v>
      </c>
      <c r="H2180">
        <v>-23000</v>
      </c>
      <c r="I2180">
        <v>-23000</v>
      </c>
    </row>
    <row r="2181" spans="1:9" x14ac:dyDescent="0.3">
      <c r="A2181" s="48" t="s">
        <v>58</v>
      </c>
      <c r="C2181">
        <v>-6000</v>
      </c>
      <c r="D2181">
        <v>0</v>
      </c>
      <c r="E2181">
        <v>0</v>
      </c>
      <c r="F2181">
        <v>9000</v>
      </c>
      <c r="G2181">
        <v>-24000</v>
      </c>
      <c r="H2181">
        <v>-24000</v>
      </c>
      <c r="I2181">
        <v>-24000</v>
      </c>
    </row>
    <row r="2182" spans="1:9" x14ac:dyDescent="0.3">
      <c r="A2182" s="15" t="s">
        <v>63</v>
      </c>
    </row>
    <row r="2183" spans="1:9" x14ac:dyDescent="0.3">
      <c r="A2183" s="48" t="s">
        <v>35</v>
      </c>
      <c r="C2183">
        <v>-16000</v>
      </c>
      <c r="D2183">
        <v>11000</v>
      </c>
      <c r="E2183">
        <v>8000</v>
      </c>
      <c r="F2183">
        <v>17000</v>
      </c>
      <c r="G2183">
        <v>-16000</v>
      </c>
      <c r="H2183">
        <v>-16000</v>
      </c>
      <c r="I2183">
        <v>-16000</v>
      </c>
    </row>
    <row r="2184" spans="1:9" x14ac:dyDescent="0.3">
      <c r="A2184" s="48" t="s">
        <v>41</v>
      </c>
      <c r="C2184">
        <v>-15000</v>
      </c>
      <c r="D2184">
        <v>10000</v>
      </c>
      <c r="E2184">
        <v>7000</v>
      </c>
      <c r="F2184">
        <v>16000</v>
      </c>
      <c r="G2184">
        <v>-17000</v>
      </c>
      <c r="H2184">
        <v>-17000</v>
      </c>
      <c r="I2184">
        <v>-17000</v>
      </c>
    </row>
    <row r="2185" spans="1:9" x14ac:dyDescent="0.3">
      <c r="A2185" s="48" t="s">
        <v>42</v>
      </c>
      <c r="C2185">
        <v>-14000</v>
      </c>
      <c r="D2185">
        <v>9000</v>
      </c>
      <c r="E2185">
        <v>6000</v>
      </c>
      <c r="F2185">
        <v>15000</v>
      </c>
      <c r="G2185">
        <v>-18000</v>
      </c>
      <c r="H2185">
        <v>-18000</v>
      </c>
      <c r="I2185">
        <v>-18000</v>
      </c>
    </row>
    <row r="2186" spans="1:9" x14ac:dyDescent="0.3">
      <c r="A2186" s="48" t="s">
        <v>43</v>
      </c>
      <c r="C2186">
        <v>-13000</v>
      </c>
      <c r="D2186">
        <v>8000</v>
      </c>
      <c r="E2186">
        <v>5000</v>
      </c>
      <c r="F2186">
        <v>14000</v>
      </c>
      <c r="G2186">
        <v>-19000</v>
      </c>
      <c r="H2186">
        <v>-19000</v>
      </c>
      <c r="I2186">
        <v>-19000</v>
      </c>
    </row>
    <row r="2187" spans="1:9" x14ac:dyDescent="0.3">
      <c r="A2187" s="48" t="s">
        <v>44</v>
      </c>
      <c r="C2187">
        <v>-12000</v>
      </c>
      <c r="D2187">
        <v>7000</v>
      </c>
      <c r="E2187">
        <v>4000</v>
      </c>
      <c r="F2187">
        <v>13000</v>
      </c>
      <c r="G2187">
        <v>-20000</v>
      </c>
      <c r="H2187">
        <v>-20000</v>
      </c>
      <c r="I2187">
        <v>-20000</v>
      </c>
    </row>
    <row r="2188" spans="1:9" x14ac:dyDescent="0.3">
      <c r="A2188" s="48" t="s">
        <v>54</v>
      </c>
      <c r="C2188">
        <v>-11000</v>
      </c>
      <c r="D2188">
        <v>6000</v>
      </c>
      <c r="E2188">
        <v>3000</v>
      </c>
      <c r="F2188">
        <v>12000</v>
      </c>
      <c r="G2188">
        <v>-21000</v>
      </c>
      <c r="H2188">
        <v>-21000</v>
      </c>
      <c r="I2188">
        <v>-21000</v>
      </c>
    </row>
    <row r="2189" spans="1:9" x14ac:dyDescent="0.3">
      <c r="A2189" s="48" t="s">
        <v>55</v>
      </c>
      <c r="C2189">
        <v>-10000</v>
      </c>
      <c r="D2189">
        <v>5000</v>
      </c>
      <c r="E2189">
        <v>2000</v>
      </c>
      <c r="F2189">
        <v>11000</v>
      </c>
      <c r="G2189">
        <v>-22000</v>
      </c>
      <c r="H2189">
        <v>-22000</v>
      </c>
      <c r="I2189">
        <v>-22000</v>
      </c>
    </row>
    <row r="2190" spans="1:9" x14ac:dyDescent="0.3">
      <c r="A2190" s="48" t="s">
        <v>56</v>
      </c>
      <c r="C2190">
        <v>-9000</v>
      </c>
      <c r="D2190">
        <v>4000</v>
      </c>
      <c r="E2190">
        <v>1000</v>
      </c>
      <c r="F2190">
        <v>10000</v>
      </c>
      <c r="G2190">
        <v>-23000</v>
      </c>
      <c r="H2190">
        <v>-23000</v>
      </c>
      <c r="I2190">
        <v>-23000</v>
      </c>
    </row>
    <row r="2191" spans="1:9" x14ac:dyDescent="0.3">
      <c r="A2191" s="48" t="s">
        <v>57</v>
      </c>
      <c r="C2191">
        <v>-8000</v>
      </c>
      <c r="D2191">
        <v>3000</v>
      </c>
      <c r="E2191">
        <v>0</v>
      </c>
      <c r="F2191">
        <v>9000</v>
      </c>
      <c r="G2191">
        <v>-24000</v>
      </c>
      <c r="H2191">
        <v>-24000</v>
      </c>
      <c r="I2191">
        <v>-24000</v>
      </c>
    </row>
    <row r="2192" spans="1:9" x14ac:dyDescent="0.3">
      <c r="A2192" s="48" t="s">
        <v>58</v>
      </c>
      <c r="C2192">
        <v>-7000</v>
      </c>
      <c r="D2192">
        <v>2000</v>
      </c>
      <c r="E2192">
        <v>-1000</v>
      </c>
      <c r="F2192">
        <v>8000</v>
      </c>
      <c r="G2192">
        <v>-25000</v>
      </c>
      <c r="H2192">
        <v>-25000</v>
      </c>
      <c r="I2192">
        <v>-25000</v>
      </c>
    </row>
    <row r="2193" spans="1:9" x14ac:dyDescent="0.3">
      <c r="A2193" s="13" t="s">
        <v>40</v>
      </c>
    </row>
    <row r="2194" spans="1:9" x14ac:dyDescent="0.3">
      <c r="A2194" s="14" t="s">
        <v>33</v>
      </c>
    </row>
    <row r="2195" spans="1:9" x14ac:dyDescent="0.3">
      <c r="A2195" s="15" t="s">
        <v>34</v>
      </c>
    </row>
    <row r="2196" spans="1:9" x14ac:dyDescent="0.3">
      <c r="A2196" s="48" t="s">
        <v>35</v>
      </c>
      <c r="C2196">
        <v>-4000</v>
      </c>
      <c r="D2196">
        <v>-4000</v>
      </c>
      <c r="E2196">
        <v>-4000</v>
      </c>
      <c r="F2196">
        <v>40000</v>
      </c>
      <c r="G2196">
        <v>-4000</v>
      </c>
      <c r="H2196">
        <v>-4000</v>
      </c>
      <c r="I2196">
        <v>-4000</v>
      </c>
    </row>
    <row r="2197" spans="1:9" x14ac:dyDescent="0.3">
      <c r="A2197" s="48" t="s">
        <v>41</v>
      </c>
      <c r="C2197">
        <v>-3000</v>
      </c>
      <c r="D2197">
        <v>-5000</v>
      </c>
      <c r="E2197">
        <v>-5000</v>
      </c>
      <c r="F2197">
        <v>39000</v>
      </c>
      <c r="G2197">
        <v>-5000</v>
      </c>
      <c r="H2197">
        <v>-5000</v>
      </c>
      <c r="I2197">
        <v>-5000</v>
      </c>
    </row>
    <row r="2198" spans="1:9" x14ac:dyDescent="0.3">
      <c r="A2198" s="48" t="s">
        <v>42</v>
      </c>
      <c r="C2198">
        <v>-2000</v>
      </c>
      <c r="D2198">
        <v>-6000</v>
      </c>
      <c r="E2198">
        <v>-6000</v>
      </c>
      <c r="F2198">
        <v>38000</v>
      </c>
      <c r="G2198">
        <v>-6000</v>
      </c>
      <c r="H2198">
        <v>-6000</v>
      </c>
      <c r="I2198">
        <v>-6000</v>
      </c>
    </row>
    <row r="2199" spans="1:9" x14ac:dyDescent="0.3">
      <c r="A2199" s="48" t="s">
        <v>43</v>
      </c>
      <c r="C2199">
        <v>-1000</v>
      </c>
      <c r="D2199">
        <v>-7000</v>
      </c>
      <c r="E2199">
        <v>-7000</v>
      </c>
      <c r="F2199">
        <v>37000</v>
      </c>
      <c r="G2199">
        <v>-7000</v>
      </c>
      <c r="H2199">
        <v>-7000</v>
      </c>
      <c r="I2199">
        <v>-7000</v>
      </c>
    </row>
    <row r="2200" spans="1:9" x14ac:dyDescent="0.3">
      <c r="A2200" s="48" t="s">
        <v>44</v>
      </c>
      <c r="C2200">
        <v>0</v>
      </c>
      <c r="D2200">
        <v>-8000</v>
      </c>
      <c r="E2200">
        <v>-8000</v>
      </c>
      <c r="F2200">
        <v>36000</v>
      </c>
      <c r="G2200">
        <v>-8000</v>
      </c>
      <c r="H2200">
        <v>-8000</v>
      </c>
      <c r="I2200">
        <v>-8000</v>
      </c>
    </row>
    <row r="2201" spans="1:9" x14ac:dyDescent="0.3">
      <c r="A2201" s="48" t="s">
        <v>54</v>
      </c>
      <c r="C2201">
        <v>1000</v>
      </c>
      <c r="D2201">
        <v>-9000</v>
      </c>
      <c r="E2201">
        <v>-9000</v>
      </c>
      <c r="F2201">
        <v>35000</v>
      </c>
      <c r="G2201">
        <v>-9000</v>
      </c>
      <c r="H2201">
        <v>-9000</v>
      </c>
      <c r="I2201">
        <v>-9000</v>
      </c>
    </row>
    <row r="2202" spans="1:9" x14ac:dyDescent="0.3">
      <c r="A2202" s="48" t="s">
        <v>55</v>
      </c>
      <c r="C2202">
        <v>2000</v>
      </c>
      <c r="D2202">
        <v>-10000</v>
      </c>
      <c r="E2202">
        <v>-10000</v>
      </c>
      <c r="F2202">
        <v>34000</v>
      </c>
      <c r="G2202">
        <v>-10000</v>
      </c>
      <c r="H2202">
        <v>-10000</v>
      </c>
      <c r="I2202">
        <v>-10000</v>
      </c>
    </row>
    <row r="2203" spans="1:9" x14ac:dyDescent="0.3">
      <c r="A2203" s="48" t="s">
        <v>56</v>
      </c>
      <c r="C2203">
        <v>3000</v>
      </c>
      <c r="D2203">
        <v>-11000</v>
      </c>
      <c r="E2203">
        <v>-11000</v>
      </c>
      <c r="F2203">
        <v>33000</v>
      </c>
      <c r="G2203">
        <v>-11000</v>
      </c>
      <c r="H2203">
        <v>-11000</v>
      </c>
      <c r="I2203">
        <v>-11000</v>
      </c>
    </row>
    <row r="2204" spans="1:9" x14ac:dyDescent="0.3">
      <c r="A2204" s="48" t="s">
        <v>57</v>
      </c>
      <c r="C2204">
        <v>4000</v>
      </c>
      <c r="D2204">
        <v>-12000</v>
      </c>
      <c r="E2204">
        <v>-12000</v>
      </c>
      <c r="F2204">
        <v>32000</v>
      </c>
      <c r="G2204">
        <v>-12000</v>
      </c>
      <c r="H2204">
        <v>-12000</v>
      </c>
      <c r="I2204">
        <v>-12000</v>
      </c>
    </row>
    <row r="2205" spans="1:9" x14ac:dyDescent="0.3">
      <c r="A2205" s="48" t="s">
        <v>58</v>
      </c>
      <c r="C2205">
        <v>5000</v>
      </c>
      <c r="D2205">
        <v>-13000</v>
      </c>
      <c r="E2205">
        <v>-13000</v>
      </c>
      <c r="F2205">
        <v>31000</v>
      </c>
      <c r="G2205">
        <v>-13000</v>
      </c>
      <c r="H2205">
        <v>-13000</v>
      </c>
      <c r="I2205">
        <v>-13000</v>
      </c>
    </row>
    <row r="2206" spans="1:9" x14ac:dyDescent="0.3">
      <c r="A2206" s="15" t="s">
        <v>45</v>
      </c>
    </row>
    <row r="2207" spans="1:9" x14ac:dyDescent="0.3">
      <c r="A2207" s="48" t="s">
        <v>35</v>
      </c>
      <c r="C2207">
        <v>-5000</v>
      </c>
      <c r="D2207">
        <v>-2000</v>
      </c>
      <c r="E2207">
        <v>-5000</v>
      </c>
      <c r="F2207">
        <v>39000</v>
      </c>
      <c r="G2207">
        <v>-5000</v>
      </c>
      <c r="H2207">
        <v>-5000</v>
      </c>
      <c r="I2207">
        <v>-5000</v>
      </c>
    </row>
    <row r="2208" spans="1:9" x14ac:dyDescent="0.3">
      <c r="A2208" s="48" t="s">
        <v>41</v>
      </c>
      <c r="C2208">
        <v>-4000</v>
      </c>
      <c r="D2208">
        <v>-3000</v>
      </c>
      <c r="E2208">
        <v>-6000</v>
      </c>
      <c r="F2208">
        <v>38000</v>
      </c>
      <c r="G2208">
        <v>-6000</v>
      </c>
      <c r="H2208">
        <v>-6000</v>
      </c>
      <c r="I2208">
        <v>-6000</v>
      </c>
    </row>
    <row r="2209" spans="1:9" x14ac:dyDescent="0.3">
      <c r="A2209" s="48" t="s">
        <v>42</v>
      </c>
      <c r="C2209">
        <v>-3000</v>
      </c>
      <c r="D2209">
        <v>-4000</v>
      </c>
      <c r="E2209">
        <v>-7000</v>
      </c>
      <c r="F2209">
        <v>37000</v>
      </c>
      <c r="G2209">
        <v>-7000</v>
      </c>
      <c r="H2209">
        <v>-7000</v>
      </c>
      <c r="I2209">
        <v>-7000</v>
      </c>
    </row>
    <row r="2210" spans="1:9" x14ac:dyDescent="0.3">
      <c r="A2210" s="48" t="s">
        <v>43</v>
      </c>
      <c r="C2210">
        <v>-2000</v>
      </c>
      <c r="D2210">
        <v>-5000</v>
      </c>
      <c r="E2210">
        <v>-8000</v>
      </c>
      <c r="F2210">
        <v>36000</v>
      </c>
      <c r="G2210">
        <v>-8000</v>
      </c>
      <c r="H2210">
        <v>-8000</v>
      </c>
      <c r="I2210">
        <v>-8000</v>
      </c>
    </row>
    <row r="2211" spans="1:9" x14ac:dyDescent="0.3">
      <c r="A2211" s="48" t="s">
        <v>44</v>
      </c>
      <c r="C2211">
        <v>-1000</v>
      </c>
      <c r="D2211">
        <v>-6000</v>
      </c>
      <c r="E2211">
        <v>-9000</v>
      </c>
      <c r="F2211">
        <v>35000</v>
      </c>
      <c r="G2211">
        <v>-9000</v>
      </c>
      <c r="H2211">
        <v>-9000</v>
      </c>
      <c r="I2211">
        <v>-9000</v>
      </c>
    </row>
    <row r="2212" spans="1:9" x14ac:dyDescent="0.3">
      <c r="A2212" s="48" t="s">
        <v>54</v>
      </c>
      <c r="C2212">
        <v>0</v>
      </c>
      <c r="D2212">
        <v>-7000</v>
      </c>
      <c r="E2212">
        <v>-10000</v>
      </c>
      <c r="F2212">
        <v>34000</v>
      </c>
      <c r="G2212">
        <v>-10000</v>
      </c>
      <c r="H2212">
        <v>-10000</v>
      </c>
      <c r="I2212">
        <v>-10000</v>
      </c>
    </row>
    <row r="2213" spans="1:9" x14ac:dyDescent="0.3">
      <c r="A2213" s="48" t="s">
        <v>55</v>
      </c>
      <c r="C2213">
        <v>1000</v>
      </c>
      <c r="D2213">
        <v>-8000</v>
      </c>
      <c r="E2213">
        <v>-11000</v>
      </c>
      <c r="F2213">
        <v>33000</v>
      </c>
      <c r="G2213">
        <v>-11000</v>
      </c>
      <c r="H2213">
        <v>-11000</v>
      </c>
      <c r="I2213">
        <v>-11000</v>
      </c>
    </row>
    <row r="2214" spans="1:9" x14ac:dyDescent="0.3">
      <c r="A2214" s="48" t="s">
        <v>56</v>
      </c>
      <c r="C2214">
        <v>2000</v>
      </c>
      <c r="D2214">
        <v>-9000</v>
      </c>
      <c r="E2214">
        <v>-12000</v>
      </c>
      <c r="F2214">
        <v>32000</v>
      </c>
      <c r="G2214">
        <v>-12000</v>
      </c>
      <c r="H2214">
        <v>-12000</v>
      </c>
      <c r="I2214">
        <v>-12000</v>
      </c>
    </row>
    <row r="2215" spans="1:9" x14ac:dyDescent="0.3">
      <c r="A2215" s="48" t="s">
        <v>57</v>
      </c>
      <c r="C2215">
        <v>3000</v>
      </c>
      <c r="D2215">
        <v>-10000</v>
      </c>
      <c r="E2215">
        <v>-13000</v>
      </c>
      <c r="F2215">
        <v>31000</v>
      </c>
      <c r="G2215">
        <v>-13000</v>
      </c>
      <c r="H2215">
        <v>-13000</v>
      </c>
      <c r="I2215">
        <v>-13000</v>
      </c>
    </row>
    <row r="2216" spans="1:9" x14ac:dyDescent="0.3">
      <c r="A2216" s="48" t="s">
        <v>58</v>
      </c>
      <c r="C2216">
        <v>4000</v>
      </c>
      <c r="D2216">
        <v>-11000</v>
      </c>
      <c r="E2216">
        <v>-14000</v>
      </c>
      <c r="F2216">
        <v>30000</v>
      </c>
      <c r="G2216">
        <v>-14000</v>
      </c>
      <c r="H2216">
        <v>-14000</v>
      </c>
      <c r="I2216">
        <v>-14000</v>
      </c>
    </row>
    <row r="2217" spans="1:9" x14ac:dyDescent="0.3">
      <c r="A2217" s="15" t="s">
        <v>46</v>
      </c>
    </row>
    <row r="2218" spans="1:9" x14ac:dyDescent="0.3">
      <c r="A2218" s="48" t="s">
        <v>35</v>
      </c>
      <c r="C2218">
        <v>-6000</v>
      </c>
      <c r="D2218">
        <v>0</v>
      </c>
      <c r="E2218">
        <v>-6000</v>
      </c>
      <c r="F2218">
        <v>38000</v>
      </c>
      <c r="G2218">
        <v>-6000</v>
      </c>
      <c r="H2218">
        <v>-6000</v>
      </c>
      <c r="I2218">
        <v>-6000</v>
      </c>
    </row>
    <row r="2219" spans="1:9" x14ac:dyDescent="0.3">
      <c r="A2219" s="48" t="s">
        <v>41</v>
      </c>
      <c r="C2219">
        <v>-5000</v>
      </c>
      <c r="D2219">
        <v>-1000</v>
      </c>
      <c r="E2219">
        <v>-7000</v>
      </c>
      <c r="F2219">
        <v>37000</v>
      </c>
      <c r="G2219">
        <v>-7000</v>
      </c>
      <c r="H2219">
        <v>-7000</v>
      </c>
      <c r="I2219">
        <v>-7000</v>
      </c>
    </row>
    <row r="2220" spans="1:9" x14ac:dyDescent="0.3">
      <c r="A2220" s="48" t="s">
        <v>42</v>
      </c>
      <c r="C2220">
        <v>-4000</v>
      </c>
      <c r="D2220">
        <v>-2000</v>
      </c>
      <c r="E2220">
        <v>-8000</v>
      </c>
      <c r="F2220">
        <v>36000</v>
      </c>
      <c r="G2220">
        <v>-8000</v>
      </c>
      <c r="H2220">
        <v>-8000</v>
      </c>
      <c r="I2220">
        <v>-8000</v>
      </c>
    </row>
    <row r="2221" spans="1:9" x14ac:dyDescent="0.3">
      <c r="A2221" s="48" t="s">
        <v>43</v>
      </c>
      <c r="C2221">
        <v>-3000</v>
      </c>
      <c r="D2221">
        <v>-3000</v>
      </c>
      <c r="E2221">
        <v>-9000</v>
      </c>
      <c r="F2221">
        <v>35000</v>
      </c>
      <c r="G2221">
        <v>-9000</v>
      </c>
      <c r="H2221">
        <v>-9000</v>
      </c>
      <c r="I2221">
        <v>-9000</v>
      </c>
    </row>
    <row r="2222" spans="1:9" x14ac:dyDescent="0.3">
      <c r="A2222" s="48" t="s">
        <v>44</v>
      </c>
      <c r="C2222">
        <v>-2000</v>
      </c>
      <c r="D2222">
        <v>-4000</v>
      </c>
      <c r="E2222">
        <v>-10000</v>
      </c>
      <c r="F2222">
        <v>34000</v>
      </c>
      <c r="G2222">
        <v>-10000</v>
      </c>
      <c r="H2222">
        <v>-10000</v>
      </c>
      <c r="I2222">
        <v>-10000</v>
      </c>
    </row>
    <row r="2223" spans="1:9" x14ac:dyDescent="0.3">
      <c r="A2223" s="48" t="s">
        <v>54</v>
      </c>
      <c r="C2223">
        <v>-1000</v>
      </c>
      <c r="D2223">
        <v>-5000</v>
      </c>
      <c r="E2223">
        <v>-11000</v>
      </c>
      <c r="F2223">
        <v>33000</v>
      </c>
      <c r="G2223">
        <v>-11000</v>
      </c>
      <c r="H2223">
        <v>-11000</v>
      </c>
      <c r="I2223">
        <v>-11000</v>
      </c>
    </row>
    <row r="2224" spans="1:9" x14ac:dyDescent="0.3">
      <c r="A2224" s="48" t="s">
        <v>55</v>
      </c>
      <c r="C2224">
        <v>0</v>
      </c>
      <c r="D2224">
        <v>-6000</v>
      </c>
      <c r="E2224">
        <v>-12000</v>
      </c>
      <c r="F2224">
        <v>32000</v>
      </c>
      <c r="G2224">
        <v>-12000</v>
      </c>
      <c r="H2224">
        <v>-12000</v>
      </c>
      <c r="I2224">
        <v>-12000</v>
      </c>
    </row>
    <row r="2225" spans="1:9" x14ac:dyDescent="0.3">
      <c r="A2225" s="48" t="s">
        <v>56</v>
      </c>
      <c r="C2225">
        <v>1000</v>
      </c>
      <c r="D2225">
        <v>-7000</v>
      </c>
      <c r="E2225">
        <v>-13000</v>
      </c>
      <c r="F2225">
        <v>31000</v>
      </c>
      <c r="G2225">
        <v>-13000</v>
      </c>
      <c r="H2225">
        <v>-13000</v>
      </c>
      <c r="I2225">
        <v>-13000</v>
      </c>
    </row>
    <row r="2226" spans="1:9" x14ac:dyDescent="0.3">
      <c r="A2226" s="48" t="s">
        <v>57</v>
      </c>
      <c r="C2226">
        <v>2000</v>
      </c>
      <c r="D2226">
        <v>-8000</v>
      </c>
      <c r="E2226">
        <v>-14000</v>
      </c>
      <c r="F2226">
        <v>30000</v>
      </c>
      <c r="G2226">
        <v>-14000</v>
      </c>
      <c r="H2226">
        <v>-14000</v>
      </c>
      <c r="I2226">
        <v>-14000</v>
      </c>
    </row>
    <row r="2227" spans="1:9" x14ac:dyDescent="0.3">
      <c r="A2227" s="48" t="s">
        <v>58</v>
      </c>
      <c r="C2227">
        <v>3000</v>
      </c>
      <c r="D2227">
        <v>-9000</v>
      </c>
      <c r="E2227">
        <v>-15000</v>
      </c>
      <c r="F2227">
        <v>29000</v>
      </c>
      <c r="G2227">
        <v>-15000</v>
      </c>
      <c r="H2227">
        <v>-15000</v>
      </c>
      <c r="I2227">
        <v>-15000</v>
      </c>
    </row>
    <row r="2228" spans="1:9" x14ac:dyDescent="0.3">
      <c r="A2228" s="15" t="s">
        <v>47</v>
      </c>
    </row>
    <row r="2229" spans="1:9" x14ac:dyDescent="0.3">
      <c r="A2229" s="48" t="s">
        <v>35</v>
      </c>
      <c r="C2229">
        <v>-7000</v>
      </c>
      <c r="D2229">
        <v>2000</v>
      </c>
      <c r="E2229">
        <v>-7000</v>
      </c>
      <c r="F2229">
        <v>37000</v>
      </c>
      <c r="G2229">
        <v>-7000</v>
      </c>
      <c r="H2229">
        <v>-7000</v>
      </c>
      <c r="I2229">
        <v>-7000</v>
      </c>
    </row>
    <row r="2230" spans="1:9" x14ac:dyDescent="0.3">
      <c r="A2230" s="48" t="s">
        <v>41</v>
      </c>
      <c r="C2230">
        <v>-6000</v>
      </c>
      <c r="D2230">
        <v>1000</v>
      </c>
      <c r="E2230">
        <v>-8000</v>
      </c>
      <c r="F2230">
        <v>36000</v>
      </c>
      <c r="G2230">
        <v>-8000</v>
      </c>
      <c r="H2230">
        <v>-8000</v>
      </c>
      <c r="I2230">
        <v>-8000</v>
      </c>
    </row>
    <row r="2231" spans="1:9" x14ac:dyDescent="0.3">
      <c r="A2231" s="48" t="s">
        <v>42</v>
      </c>
      <c r="C2231">
        <v>-5000</v>
      </c>
      <c r="D2231">
        <v>0</v>
      </c>
      <c r="E2231">
        <v>-9000</v>
      </c>
      <c r="F2231">
        <v>35000</v>
      </c>
      <c r="G2231">
        <v>-9000</v>
      </c>
      <c r="H2231">
        <v>-9000</v>
      </c>
      <c r="I2231">
        <v>-9000</v>
      </c>
    </row>
    <row r="2232" spans="1:9" x14ac:dyDescent="0.3">
      <c r="A2232" s="48" t="s">
        <v>43</v>
      </c>
      <c r="C2232">
        <v>-4000</v>
      </c>
      <c r="D2232">
        <v>-1000</v>
      </c>
      <c r="E2232">
        <v>-10000</v>
      </c>
      <c r="F2232">
        <v>34000</v>
      </c>
      <c r="G2232">
        <v>-10000</v>
      </c>
      <c r="H2232">
        <v>-10000</v>
      </c>
      <c r="I2232">
        <v>-10000</v>
      </c>
    </row>
    <row r="2233" spans="1:9" x14ac:dyDescent="0.3">
      <c r="A2233" s="48" t="s">
        <v>44</v>
      </c>
      <c r="C2233">
        <v>-3000</v>
      </c>
      <c r="D2233">
        <v>-2000</v>
      </c>
      <c r="E2233">
        <v>-11000</v>
      </c>
      <c r="F2233">
        <v>33000</v>
      </c>
      <c r="G2233">
        <v>-11000</v>
      </c>
      <c r="H2233">
        <v>-11000</v>
      </c>
      <c r="I2233">
        <v>-11000</v>
      </c>
    </row>
    <row r="2234" spans="1:9" x14ac:dyDescent="0.3">
      <c r="A2234" s="48" t="s">
        <v>54</v>
      </c>
      <c r="C2234">
        <v>-2000</v>
      </c>
      <c r="D2234">
        <v>-3000</v>
      </c>
      <c r="E2234">
        <v>-12000</v>
      </c>
      <c r="F2234">
        <v>32000</v>
      </c>
      <c r="G2234">
        <v>-12000</v>
      </c>
      <c r="H2234">
        <v>-12000</v>
      </c>
      <c r="I2234">
        <v>-12000</v>
      </c>
    </row>
    <row r="2235" spans="1:9" x14ac:dyDescent="0.3">
      <c r="A2235" s="48" t="s">
        <v>55</v>
      </c>
      <c r="C2235">
        <v>-1000</v>
      </c>
      <c r="D2235">
        <v>-4000</v>
      </c>
      <c r="E2235">
        <v>-13000</v>
      </c>
      <c r="F2235">
        <v>31000</v>
      </c>
      <c r="G2235">
        <v>-13000</v>
      </c>
      <c r="H2235">
        <v>-13000</v>
      </c>
      <c r="I2235">
        <v>-13000</v>
      </c>
    </row>
    <row r="2236" spans="1:9" x14ac:dyDescent="0.3">
      <c r="A2236" s="48" t="s">
        <v>56</v>
      </c>
      <c r="C2236">
        <v>0</v>
      </c>
      <c r="D2236">
        <v>-5000</v>
      </c>
      <c r="E2236">
        <v>-14000</v>
      </c>
      <c r="F2236">
        <v>30000</v>
      </c>
      <c r="G2236">
        <v>-14000</v>
      </c>
      <c r="H2236">
        <v>-14000</v>
      </c>
      <c r="I2236">
        <v>-14000</v>
      </c>
    </row>
    <row r="2237" spans="1:9" x14ac:dyDescent="0.3">
      <c r="A2237" s="48" t="s">
        <v>57</v>
      </c>
      <c r="C2237">
        <v>1000</v>
      </c>
      <c r="D2237">
        <v>-6000</v>
      </c>
      <c r="E2237">
        <v>-15000</v>
      </c>
      <c r="F2237">
        <v>29000</v>
      </c>
      <c r="G2237">
        <v>-15000</v>
      </c>
      <c r="H2237">
        <v>-15000</v>
      </c>
      <c r="I2237">
        <v>-15000</v>
      </c>
    </row>
    <row r="2238" spans="1:9" x14ac:dyDescent="0.3">
      <c r="A2238" s="48" t="s">
        <v>58</v>
      </c>
      <c r="C2238">
        <v>2000</v>
      </c>
      <c r="D2238">
        <v>-7000</v>
      </c>
      <c r="E2238">
        <v>-16000</v>
      </c>
      <c r="F2238">
        <v>28000</v>
      </c>
      <c r="G2238">
        <v>-16000</v>
      </c>
      <c r="H2238">
        <v>-16000</v>
      </c>
      <c r="I2238">
        <v>-16000</v>
      </c>
    </row>
    <row r="2239" spans="1:9" x14ac:dyDescent="0.3">
      <c r="A2239" s="15" t="s">
        <v>48</v>
      </c>
    </row>
    <row r="2240" spans="1:9" x14ac:dyDescent="0.3">
      <c r="A2240" s="48" t="s">
        <v>35</v>
      </c>
      <c r="C2240">
        <v>-8000</v>
      </c>
      <c r="D2240">
        <v>4000</v>
      </c>
      <c r="E2240">
        <v>-8000</v>
      </c>
      <c r="F2240">
        <v>36000</v>
      </c>
      <c r="G2240">
        <v>-8000</v>
      </c>
      <c r="H2240">
        <v>-8000</v>
      </c>
      <c r="I2240">
        <v>-8000</v>
      </c>
    </row>
    <row r="2241" spans="1:9" x14ac:dyDescent="0.3">
      <c r="A2241" s="48" t="s">
        <v>41</v>
      </c>
      <c r="C2241">
        <v>-7000</v>
      </c>
      <c r="D2241">
        <v>3000</v>
      </c>
      <c r="E2241">
        <v>-9000</v>
      </c>
      <c r="F2241">
        <v>35000</v>
      </c>
      <c r="G2241">
        <v>-9000</v>
      </c>
      <c r="H2241">
        <v>-9000</v>
      </c>
      <c r="I2241">
        <v>-9000</v>
      </c>
    </row>
    <row r="2242" spans="1:9" x14ac:dyDescent="0.3">
      <c r="A2242" s="48" t="s">
        <v>42</v>
      </c>
      <c r="C2242">
        <v>-6000</v>
      </c>
      <c r="D2242">
        <v>2000</v>
      </c>
      <c r="E2242">
        <v>-10000</v>
      </c>
      <c r="F2242">
        <v>34000</v>
      </c>
      <c r="G2242">
        <v>-10000</v>
      </c>
      <c r="H2242">
        <v>-10000</v>
      </c>
      <c r="I2242">
        <v>-10000</v>
      </c>
    </row>
    <row r="2243" spans="1:9" x14ac:dyDescent="0.3">
      <c r="A2243" s="48" t="s">
        <v>43</v>
      </c>
      <c r="C2243">
        <v>-5000</v>
      </c>
      <c r="D2243">
        <v>1000</v>
      </c>
      <c r="E2243">
        <v>-11000</v>
      </c>
      <c r="F2243">
        <v>33000</v>
      </c>
      <c r="G2243">
        <v>-11000</v>
      </c>
      <c r="H2243">
        <v>-11000</v>
      </c>
      <c r="I2243">
        <v>-11000</v>
      </c>
    </row>
    <row r="2244" spans="1:9" x14ac:dyDescent="0.3">
      <c r="A2244" s="48" t="s">
        <v>44</v>
      </c>
      <c r="C2244">
        <v>-4000</v>
      </c>
      <c r="D2244">
        <v>0</v>
      </c>
      <c r="E2244">
        <v>-12000</v>
      </c>
      <c r="F2244">
        <v>32000</v>
      </c>
      <c r="G2244">
        <v>-12000</v>
      </c>
      <c r="H2244">
        <v>-12000</v>
      </c>
      <c r="I2244">
        <v>-12000</v>
      </c>
    </row>
    <row r="2245" spans="1:9" x14ac:dyDescent="0.3">
      <c r="A2245" s="48" t="s">
        <v>54</v>
      </c>
      <c r="C2245">
        <v>-3000</v>
      </c>
      <c r="D2245">
        <v>-1000</v>
      </c>
      <c r="E2245">
        <v>-13000</v>
      </c>
      <c r="F2245">
        <v>31000</v>
      </c>
      <c r="G2245">
        <v>-13000</v>
      </c>
      <c r="H2245">
        <v>-13000</v>
      </c>
      <c r="I2245">
        <v>-13000</v>
      </c>
    </row>
    <row r="2246" spans="1:9" x14ac:dyDescent="0.3">
      <c r="A2246" s="48" t="s">
        <v>55</v>
      </c>
      <c r="C2246">
        <v>-2000</v>
      </c>
      <c r="D2246">
        <v>-2000</v>
      </c>
      <c r="E2246">
        <v>-14000</v>
      </c>
      <c r="F2246">
        <v>30000</v>
      </c>
      <c r="G2246">
        <v>-14000</v>
      </c>
      <c r="H2246">
        <v>-14000</v>
      </c>
      <c r="I2246">
        <v>-14000</v>
      </c>
    </row>
    <row r="2247" spans="1:9" x14ac:dyDescent="0.3">
      <c r="A2247" s="48" t="s">
        <v>56</v>
      </c>
      <c r="C2247">
        <v>-1000</v>
      </c>
      <c r="D2247">
        <v>-3000</v>
      </c>
      <c r="E2247">
        <v>-15000</v>
      </c>
      <c r="F2247">
        <v>29000</v>
      </c>
      <c r="G2247">
        <v>-15000</v>
      </c>
      <c r="H2247">
        <v>-15000</v>
      </c>
      <c r="I2247">
        <v>-15000</v>
      </c>
    </row>
    <row r="2248" spans="1:9" x14ac:dyDescent="0.3">
      <c r="A2248" s="48" t="s">
        <v>57</v>
      </c>
      <c r="C2248">
        <v>0</v>
      </c>
      <c r="D2248">
        <v>-4000</v>
      </c>
      <c r="E2248">
        <v>-16000</v>
      </c>
      <c r="F2248">
        <v>28000</v>
      </c>
      <c r="G2248">
        <v>-16000</v>
      </c>
      <c r="H2248">
        <v>-16000</v>
      </c>
      <c r="I2248">
        <v>-16000</v>
      </c>
    </row>
    <row r="2249" spans="1:9" x14ac:dyDescent="0.3">
      <c r="A2249" s="48" t="s">
        <v>58</v>
      </c>
      <c r="C2249">
        <v>1000</v>
      </c>
      <c r="D2249">
        <v>-5000</v>
      </c>
      <c r="E2249">
        <v>-17000</v>
      </c>
      <c r="F2249">
        <v>27000</v>
      </c>
      <c r="G2249">
        <v>-17000</v>
      </c>
      <c r="H2249">
        <v>-17000</v>
      </c>
      <c r="I2249">
        <v>-17000</v>
      </c>
    </row>
    <row r="2250" spans="1:9" x14ac:dyDescent="0.3">
      <c r="A2250" s="15" t="s">
        <v>59</v>
      </c>
    </row>
    <row r="2251" spans="1:9" x14ac:dyDescent="0.3">
      <c r="A2251" s="48" t="s">
        <v>35</v>
      </c>
      <c r="C2251">
        <v>-9000</v>
      </c>
      <c r="D2251">
        <v>6000</v>
      </c>
      <c r="E2251">
        <v>-9000</v>
      </c>
      <c r="F2251">
        <v>35000</v>
      </c>
      <c r="G2251">
        <v>-9000</v>
      </c>
      <c r="H2251">
        <v>-9000</v>
      </c>
      <c r="I2251">
        <v>-9000</v>
      </c>
    </row>
    <row r="2252" spans="1:9" x14ac:dyDescent="0.3">
      <c r="A2252" s="48" t="s">
        <v>41</v>
      </c>
      <c r="C2252">
        <v>-8000</v>
      </c>
      <c r="D2252">
        <v>5000</v>
      </c>
      <c r="E2252">
        <v>-10000</v>
      </c>
      <c r="F2252">
        <v>34000</v>
      </c>
      <c r="G2252">
        <v>-10000</v>
      </c>
      <c r="H2252">
        <v>-10000</v>
      </c>
      <c r="I2252">
        <v>-10000</v>
      </c>
    </row>
    <row r="2253" spans="1:9" x14ac:dyDescent="0.3">
      <c r="A2253" s="48" t="s">
        <v>42</v>
      </c>
      <c r="C2253">
        <v>-7000</v>
      </c>
      <c r="D2253">
        <v>4000</v>
      </c>
      <c r="E2253">
        <v>-11000</v>
      </c>
      <c r="F2253">
        <v>33000</v>
      </c>
      <c r="G2253">
        <v>-11000</v>
      </c>
      <c r="H2253">
        <v>-11000</v>
      </c>
      <c r="I2253">
        <v>-11000</v>
      </c>
    </row>
    <row r="2254" spans="1:9" x14ac:dyDescent="0.3">
      <c r="A2254" s="48" t="s">
        <v>43</v>
      </c>
      <c r="C2254">
        <v>-6000</v>
      </c>
      <c r="D2254">
        <v>3000</v>
      </c>
      <c r="E2254">
        <v>-12000</v>
      </c>
      <c r="F2254">
        <v>32000</v>
      </c>
      <c r="G2254">
        <v>-12000</v>
      </c>
      <c r="H2254">
        <v>-12000</v>
      </c>
      <c r="I2254">
        <v>-12000</v>
      </c>
    </row>
    <row r="2255" spans="1:9" x14ac:dyDescent="0.3">
      <c r="A2255" s="48" t="s">
        <v>44</v>
      </c>
      <c r="C2255">
        <v>-5000</v>
      </c>
      <c r="D2255">
        <v>2000</v>
      </c>
      <c r="E2255">
        <v>-13000</v>
      </c>
      <c r="F2255">
        <v>31000</v>
      </c>
      <c r="G2255">
        <v>-13000</v>
      </c>
      <c r="H2255">
        <v>-13000</v>
      </c>
      <c r="I2255">
        <v>-13000</v>
      </c>
    </row>
    <row r="2256" spans="1:9" x14ac:dyDescent="0.3">
      <c r="A2256" s="48" t="s">
        <v>54</v>
      </c>
      <c r="C2256">
        <v>-4000</v>
      </c>
      <c r="D2256">
        <v>1000</v>
      </c>
      <c r="E2256">
        <v>-14000</v>
      </c>
      <c r="F2256">
        <v>30000</v>
      </c>
      <c r="G2256">
        <v>-14000</v>
      </c>
      <c r="H2256">
        <v>-14000</v>
      </c>
      <c r="I2256">
        <v>-14000</v>
      </c>
    </row>
    <row r="2257" spans="1:9" x14ac:dyDescent="0.3">
      <c r="A2257" s="48" t="s">
        <v>55</v>
      </c>
      <c r="C2257">
        <v>-3000</v>
      </c>
      <c r="D2257">
        <v>0</v>
      </c>
      <c r="E2257">
        <v>-15000</v>
      </c>
      <c r="F2257">
        <v>29000</v>
      </c>
      <c r="G2257">
        <v>-15000</v>
      </c>
      <c r="H2257">
        <v>-15000</v>
      </c>
      <c r="I2257">
        <v>-15000</v>
      </c>
    </row>
    <row r="2258" spans="1:9" x14ac:dyDescent="0.3">
      <c r="A2258" s="48" t="s">
        <v>56</v>
      </c>
      <c r="C2258">
        <v>-2000</v>
      </c>
      <c r="D2258">
        <v>-1000</v>
      </c>
      <c r="E2258">
        <v>-16000</v>
      </c>
      <c r="F2258">
        <v>28000</v>
      </c>
      <c r="G2258">
        <v>-16000</v>
      </c>
      <c r="H2258">
        <v>-16000</v>
      </c>
      <c r="I2258">
        <v>-16000</v>
      </c>
    </row>
    <row r="2259" spans="1:9" x14ac:dyDescent="0.3">
      <c r="A2259" s="48" t="s">
        <v>57</v>
      </c>
      <c r="C2259">
        <v>-1000</v>
      </c>
      <c r="D2259">
        <v>-2000</v>
      </c>
      <c r="E2259">
        <v>-17000</v>
      </c>
      <c r="F2259">
        <v>27000</v>
      </c>
      <c r="G2259">
        <v>-17000</v>
      </c>
      <c r="H2259">
        <v>-17000</v>
      </c>
      <c r="I2259">
        <v>-17000</v>
      </c>
    </row>
    <row r="2260" spans="1:9" x14ac:dyDescent="0.3">
      <c r="A2260" s="48" t="s">
        <v>58</v>
      </c>
      <c r="C2260">
        <v>0</v>
      </c>
      <c r="D2260">
        <v>-3000</v>
      </c>
      <c r="E2260">
        <v>-18000</v>
      </c>
      <c r="F2260">
        <v>26000</v>
      </c>
      <c r="G2260">
        <v>-18000</v>
      </c>
      <c r="H2260">
        <v>-18000</v>
      </c>
      <c r="I2260">
        <v>-18000</v>
      </c>
    </row>
    <row r="2261" spans="1:9" x14ac:dyDescent="0.3">
      <c r="A2261" s="15" t="s">
        <v>60</v>
      </c>
    </row>
    <row r="2262" spans="1:9" x14ac:dyDescent="0.3">
      <c r="A2262" s="48" t="s">
        <v>35</v>
      </c>
      <c r="C2262">
        <v>-10000</v>
      </c>
      <c r="D2262">
        <v>8000</v>
      </c>
      <c r="E2262">
        <v>-10000</v>
      </c>
      <c r="F2262">
        <v>34000</v>
      </c>
      <c r="G2262">
        <v>-10000</v>
      </c>
      <c r="H2262">
        <v>-10000</v>
      </c>
      <c r="I2262">
        <v>-10000</v>
      </c>
    </row>
    <row r="2263" spans="1:9" x14ac:dyDescent="0.3">
      <c r="A2263" s="48" t="s">
        <v>41</v>
      </c>
      <c r="C2263">
        <v>-9000</v>
      </c>
      <c r="D2263">
        <v>7000</v>
      </c>
      <c r="E2263">
        <v>-11000</v>
      </c>
      <c r="F2263">
        <v>33000</v>
      </c>
      <c r="G2263">
        <v>-11000</v>
      </c>
      <c r="H2263">
        <v>-11000</v>
      </c>
      <c r="I2263">
        <v>-11000</v>
      </c>
    </row>
    <row r="2264" spans="1:9" x14ac:dyDescent="0.3">
      <c r="A2264" s="48" t="s">
        <v>42</v>
      </c>
      <c r="C2264">
        <v>-8000</v>
      </c>
      <c r="D2264">
        <v>6000</v>
      </c>
      <c r="E2264">
        <v>-12000</v>
      </c>
      <c r="F2264">
        <v>32000</v>
      </c>
      <c r="G2264">
        <v>-12000</v>
      </c>
      <c r="H2264">
        <v>-12000</v>
      </c>
      <c r="I2264">
        <v>-12000</v>
      </c>
    </row>
    <row r="2265" spans="1:9" x14ac:dyDescent="0.3">
      <c r="A2265" s="48" t="s">
        <v>43</v>
      </c>
      <c r="C2265">
        <v>-7000</v>
      </c>
      <c r="D2265">
        <v>5000</v>
      </c>
      <c r="E2265">
        <v>-13000</v>
      </c>
      <c r="F2265">
        <v>31000</v>
      </c>
      <c r="G2265">
        <v>-13000</v>
      </c>
      <c r="H2265">
        <v>-13000</v>
      </c>
      <c r="I2265">
        <v>-13000</v>
      </c>
    </row>
    <row r="2266" spans="1:9" x14ac:dyDescent="0.3">
      <c r="A2266" s="48" t="s">
        <v>44</v>
      </c>
      <c r="C2266">
        <v>-6000</v>
      </c>
      <c r="D2266">
        <v>4000</v>
      </c>
      <c r="E2266">
        <v>-14000</v>
      </c>
      <c r="F2266">
        <v>30000</v>
      </c>
      <c r="G2266">
        <v>-14000</v>
      </c>
      <c r="H2266">
        <v>-14000</v>
      </c>
      <c r="I2266">
        <v>-14000</v>
      </c>
    </row>
    <row r="2267" spans="1:9" x14ac:dyDescent="0.3">
      <c r="A2267" s="48" t="s">
        <v>54</v>
      </c>
      <c r="C2267">
        <v>-5000</v>
      </c>
      <c r="D2267">
        <v>3000</v>
      </c>
      <c r="E2267">
        <v>-15000</v>
      </c>
      <c r="F2267">
        <v>29000</v>
      </c>
      <c r="G2267">
        <v>-15000</v>
      </c>
      <c r="H2267">
        <v>-15000</v>
      </c>
      <c r="I2267">
        <v>-15000</v>
      </c>
    </row>
    <row r="2268" spans="1:9" x14ac:dyDescent="0.3">
      <c r="A2268" s="48" t="s">
        <v>55</v>
      </c>
      <c r="C2268">
        <v>-4000</v>
      </c>
      <c r="D2268">
        <v>2000</v>
      </c>
      <c r="E2268">
        <v>-16000</v>
      </c>
      <c r="F2268">
        <v>28000</v>
      </c>
      <c r="G2268">
        <v>-16000</v>
      </c>
      <c r="H2268">
        <v>-16000</v>
      </c>
      <c r="I2268">
        <v>-16000</v>
      </c>
    </row>
    <row r="2269" spans="1:9" x14ac:dyDescent="0.3">
      <c r="A2269" s="48" t="s">
        <v>56</v>
      </c>
      <c r="C2269">
        <v>-3000</v>
      </c>
      <c r="D2269">
        <v>1000</v>
      </c>
      <c r="E2269">
        <v>-17000</v>
      </c>
      <c r="F2269">
        <v>27000</v>
      </c>
      <c r="G2269">
        <v>-17000</v>
      </c>
      <c r="H2269">
        <v>-17000</v>
      </c>
      <c r="I2269">
        <v>-17000</v>
      </c>
    </row>
    <row r="2270" spans="1:9" x14ac:dyDescent="0.3">
      <c r="A2270" s="48" t="s">
        <v>57</v>
      </c>
      <c r="C2270">
        <v>-2000</v>
      </c>
      <c r="D2270">
        <v>0</v>
      </c>
      <c r="E2270">
        <v>-18000</v>
      </c>
      <c r="F2270">
        <v>26000</v>
      </c>
      <c r="G2270">
        <v>-18000</v>
      </c>
      <c r="H2270">
        <v>-18000</v>
      </c>
      <c r="I2270">
        <v>-18000</v>
      </c>
    </row>
    <row r="2271" spans="1:9" x14ac:dyDescent="0.3">
      <c r="A2271" s="48" t="s">
        <v>58</v>
      </c>
      <c r="C2271">
        <v>-1000</v>
      </c>
      <c r="D2271">
        <v>-1000</v>
      </c>
      <c r="E2271">
        <v>-19000</v>
      </c>
      <c r="F2271">
        <v>25000</v>
      </c>
      <c r="G2271">
        <v>-19000</v>
      </c>
      <c r="H2271">
        <v>-19000</v>
      </c>
      <c r="I2271">
        <v>-19000</v>
      </c>
    </row>
    <row r="2272" spans="1:9" x14ac:dyDescent="0.3">
      <c r="A2272" s="15" t="s">
        <v>61</v>
      </c>
    </row>
    <row r="2273" spans="1:9" x14ac:dyDescent="0.3">
      <c r="A2273" s="48" t="s">
        <v>35</v>
      </c>
      <c r="C2273">
        <v>-11000</v>
      </c>
      <c r="D2273">
        <v>10000</v>
      </c>
      <c r="E2273">
        <v>-11000</v>
      </c>
      <c r="F2273">
        <v>33000</v>
      </c>
      <c r="G2273">
        <v>-11000</v>
      </c>
      <c r="H2273">
        <v>-11000</v>
      </c>
      <c r="I2273">
        <v>-11000</v>
      </c>
    </row>
    <row r="2274" spans="1:9" x14ac:dyDescent="0.3">
      <c r="A2274" s="48" t="s">
        <v>41</v>
      </c>
      <c r="C2274">
        <v>-10000</v>
      </c>
      <c r="D2274">
        <v>9000</v>
      </c>
      <c r="E2274">
        <v>-12000</v>
      </c>
      <c r="F2274">
        <v>32000</v>
      </c>
      <c r="G2274">
        <v>-12000</v>
      </c>
      <c r="H2274">
        <v>-12000</v>
      </c>
      <c r="I2274">
        <v>-12000</v>
      </c>
    </row>
    <row r="2275" spans="1:9" x14ac:dyDescent="0.3">
      <c r="A2275" s="48" t="s">
        <v>42</v>
      </c>
      <c r="C2275">
        <v>-9000</v>
      </c>
      <c r="D2275">
        <v>8000</v>
      </c>
      <c r="E2275">
        <v>-13000</v>
      </c>
      <c r="F2275">
        <v>31000</v>
      </c>
      <c r="G2275">
        <v>-13000</v>
      </c>
      <c r="H2275">
        <v>-13000</v>
      </c>
      <c r="I2275">
        <v>-13000</v>
      </c>
    </row>
    <row r="2276" spans="1:9" x14ac:dyDescent="0.3">
      <c r="A2276" s="48" t="s">
        <v>43</v>
      </c>
      <c r="C2276">
        <v>-8000</v>
      </c>
      <c r="D2276">
        <v>7000</v>
      </c>
      <c r="E2276">
        <v>-14000</v>
      </c>
      <c r="F2276">
        <v>30000</v>
      </c>
      <c r="G2276">
        <v>-14000</v>
      </c>
      <c r="H2276">
        <v>-14000</v>
      </c>
      <c r="I2276">
        <v>-14000</v>
      </c>
    </row>
    <row r="2277" spans="1:9" x14ac:dyDescent="0.3">
      <c r="A2277" s="48" t="s">
        <v>44</v>
      </c>
      <c r="C2277">
        <v>-7000</v>
      </c>
      <c r="D2277">
        <v>6000</v>
      </c>
      <c r="E2277">
        <v>-15000</v>
      </c>
      <c r="F2277">
        <v>29000</v>
      </c>
      <c r="G2277">
        <v>-15000</v>
      </c>
      <c r="H2277">
        <v>-15000</v>
      </c>
      <c r="I2277">
        <v>-15000</v>
      </c>
    </row>
    <row r="2278" spans="1:9" x14ac:dyDescent="0.3">
      <c r="A2278" s="48" t="s">
        <v>54</v>
      </c>
      <c r="C2278">
        <v>-6000</v>
      </c>
      <c r="D2278">
        <v>5000</v>
      </c>
      <c r="E2278">
        <v>-16000</v>
      </c>
      <c r="F2278">
        <v>28000</v>
      </c>
      <c r="G2278">
        <v>-16000</v>
      </c>
      <c r="H2278">
        <v>-16000</v>
      </c>
      <c r="I2278">
        <v>-16000</v>
      </c>
    </row>
    <row r="2279" spans="1:9" x14ac:dyDescent="0.3">
      <c r="A2279" s="48" t="s">
        <v>55</v>
      </c>
      <c r="C2279">
        <v>-5000</v>
      </c>
      <c r="D2279">
        <v>4000</v>
      </c>
      <c r="E2279">
        <v>-17000</v>
      </c>
      <c r="F2279">
        <v>27000</v>
      </c>
      <c r="G2279">
        <v>-17000</v>
      </c>
      <c r="H2279">
        <v>-17000</v>
      </c>
      <c r="I2279">
        <v>-17000</v>
      </c>
    </row>
    <row r="2280" spans="1:9" x14ac:dyDescent="0.3">
      <c r="A2280" s="48" t="s">
        <v>56</v>
      </c>
      <c r="C2280">
        <v>-4000</v>
      </c>
      <c r="D2280">
        <v>3000</v>
      </c>
      <c r="E2280">
        <v>-18000</v>
      </c>
      <c r="F2280">
        <v>26000</v>
      </c>
      <c r="G2280">
        <v>-18000</v>
      </c>
      <c r="H2280">
        <v>-18000</v>
      </c>
      <c r="I2280">
        <v>-18000</v>
      </c>
    </row>
    <row r="2281" spans="1:9" x14ac:dyDescent="0.3">
      <c r="A2281" s="48" t="s">
        <v>57</v>
      </c>
      <c r="C2281">
        <v>-3000</v>
      </c>
      <c r="D2281">
        <v>2000</v>
      </c>
      <c r="E2281">
        <v>-19000</v>
      </c>
      <c r="F2281">
        <v>25000</v>
      </c>
      <c r="G2281">
        <v>-19000</v>
      </c>
      <c r="H2281">
        <v>-19000</v>
      </c>
      <c r="I2281">
        <v>-19000</v>
      </c>
    </row>
    <row r="2282" spans="1:9" x14ac:dyDescent="0.3">
      <c r="A2282" s="48" t="s">
        <v>58</v>
      </c>
      <c r="C2282">
        <v>-2000</v>
      </c>
      <c r="D2282">
        <v>1000</v>
      </c>
      <c r="E2282">
        <v>-20000</v>
      </c>
      <c r="F2282">
        <v>24000</v>
      </c>
      <c r="G2282">
        <v>-20000</v>
      </c>
      <c r="H2282">
        <v>-20000</v>
      </c>
      <c r="I2282">
        <v>-20000</v>
      </c>
    </row>
    <row r="2283" spans="1:9" x14ac:dyDescent="0.3">
      <c r="A2283" s="15" t="s">
        <v>62</v>
      </c>
    </row>
    <row r="2284" spans="1:9" x14ac:dyDescent="0.3">
      <c r="A2284" s="48" t="s">
        <v>35</v>
      </c>
      <c r="C2284">
        <v>-12000</v>
      </c>
      <c r="D2284">
        <v>12000</v>
      </c>
      <c r="E2284">
        <v>-12000</v>
      </c>
      <c r="F2284">
        <v>32000</v>
      </c>
      <c r="G2284">
        <v>-12000</v>
      </c>
      <c r="H2284">
        <v>-12000</v>
      </c>
      <c r="I2284">
        <v>-12000</v>
      </c>
    </row>
    <row r="2285" spans="1:9" x14ac:dyDescent="0.3">
      <c r="A2285" s="48" t="s">
        <v>41</v>
      </c>
      <c r="C2285">
        <v>-11000</v>
      </c>
      <c r="D2285">
        <v>11000</v>
      </c>
      <c r="E2285">
        <v>-13000</v>
      </c>
      <c r="F2285">
        <v>31000</v>
      </c>
      <c r="G2285">
        <v>-13000</v>
      </c>
      <c r="H2285">
        <v>-13000</v>
      </c>
      <c r="I2285">
        <v>-13000</v>
      </c>
    </row>
    <row r="2286" spans="1:9" x14ac:dyDescent="0.3">
      <c r="A2286" s="48" t="s">
        <v>42</v>
      </c>
      <c r="C2286">
        <v>-10000</v>
      </c>
      <c r="D2286">
        <v>10000</v>
      </c>
      <c r="E2286">
        <v>-14000</v>
      </c>
      <c r="F2286">
        <v>30000</v>
      </c>
      <c r="G2286">
        <v>-14000</v>
      </c>
      <c r="H2286">
        <v>-14000</v>
      </c>
      <c r="I2286">
        <v>-14000</v>
      </c>
    </row>
    <row r="2287" spans="1:9" x14ac:dyDescent="0.3">
      <c r="A2287" s="48" t="s">
        <v>43</v>
      </c>
      <c r="C2287">
        <v>-9000</v>
      </c>
      <c r="D2287">
        <v>9000</v>
      </c>
      <c r="E2287">
        <v>-15000</v>
      </c>
      <c r="F2287">
        <v>29000</v>
      </c>
      <c r="G2287">
        <v>-15000</v>
      </c>
      <c r="H2287">
        <v>-15000</v>
      </c>
      <c r="I2287">
        <v>-15000</v>
      </c>
    </row>
    <row r="2288" spans="1:9" x14ac:dyDescent="0.3">
      <c r="A2288" s="48" t="s">
        <v>44</v>
      </c>
      <c r="C2288">
        <v>-8000</v>
      </c>
      <c r="D2288">
        <v>8000</v>
      </c>
      <c r="E2288">
        <v>-16000</v>
      </c>
      <c r="F2288">
        <v>28000</v>
      </c>
      <c r="G2288">
        <v>-16000</v>
      </c>
      <c r="H2288">
        <v>-16000</v>
      </c>
      <c r="I2288">
        <v>-16000</v>
      </c>
    </row>
    <row r="2289" spans="1:9" x14ac:dyDescent="0.3">
      <c r="A2289" s="48" t="s">
        <v>54</v>
      </c>
      <c r="C2289">
        <v>-7000</v>
      </c>
      <c r="D2289">
        <v>7000</v>
      </c>
      <c r="E2289">
        <v>-17000</v>
      </c>
      <c r="F2289">
        <v>27000</v>
      </c>
      <c r="G2289">
        <v>-17000</v>
      </c>
      <c r="H2289">
        <v>-17000</v>
      </c>
      <c r="I2289">
        <v>-17000</v>
      </c>
    </row>
    <row r="2290" spans="1:9" x14ac:dyDescent="0.3">
      <c r="A2290" s="48" t="s">
        <v>55</v>
      </c>
      <c r="C2290">
        <v>-6000</v>
      </c>
      <c r="D2290">
        <v>6000</v>
      </c>
      <c r="E2290">
        <v>-18000</v>
      </c>
      <c r="F2290">
        <v>26000</v>
      </c>
      <c r="G2290">
        <v>-18000</v>
      </c>
      <c r="H2290">
        <v>-18000</v>
      </c>
      <c r="I2290">
        <v>-18000</v>
      </c>
    </row>
    <row r="2291" spans="1:9" x14ac:dyDescent="0.3">
      <c r="A2291" s="48" t="s">
        <v>56</v>
      </c>
      <c r="C2291">
        <v>-5000</v>
      </c>
      <c r="D2291">
        <v>5000</v>
      </c>
      <c r="E2291">
        <v>-19000</v>
      </c>
      <c r="F2291">
        <v>25000</v>
      </c>
      <c r="G2291">
        <v>-19000</v>
      </c>
      <c r="H2291">
        <v>-19000</v>
      </c>
      <c r="I2291">
        <v>-19000</v>
      </c>
    </row>
    <row r="2292" spans="1:9" x14ac:dyDescent="0.3">
      <c r="A2292" s="48" t="s">
        <v>57</v>
      </c>
      <c r="C2292">
        <v>-4000</v>
      </c>
      <c r="D2292">
        <v>4000</v>
      </c>
      <c r="E2292">
        <v>-20000</v>
      </c>
      <c r="F2292">
        <v>24000</v>
      </c>
      <c r="G2292">
        <v>-20000</v>
      </c>
      <c r="H2292">
        <v>-20000</v>
      </c>
      <c r="I2292">
        <v>-20000</v>
      </c>
    </row>
    <row r="2293" spans="1:9" x14ac:dyDescent="0.3">
      <c r="A2293" s="48" t="s">
        <v>58</v>
      </c>
      <c r="C2293">
        <v>-3000</v>
      </c>
      <c r="D2293">
        <v>3000</v>
      </c>
      <c r="E2293">
        <v>-21000</v>
      </c>
      <c r="F2293">
        <v>23000</v>
      </c>
      <c r="G2293">
        <v>-21000</v>
      </c>
      <c r="H2293">
        <v>-21000</v>
      </c>
      <c r="I2293">
        <v>-21000</v>
      </c>
    </row>
    <row r="2294" spans="1:9" x14ac:dyDescent="0.3">
      <c r="A2294" s="15" t="s">
        <v>63</v>
      </c>
    </row>
    <row r="2295" spans="1:9" x14ac:dyDescent="0.3">
      <c r="A2295" s="48" t="s">
        <v>35</v>
      </c>
      <c r="C2295">
        <v>-13000</v>
      </c>
      <c r="D2295">
        <v>14000</v>
      </c>
      <c r="E2295">
        <v>-13000</v>
      </c>
      <c r="F2295">
        <v>31000</v>
      </c>
      <c r="G2295">
        <v>-13000</v>
      </c>
      <c r="H2295">
        <v>-13000</v>
      </c>
      <c r="I2295">
        <v>-13000</v>
      </c>
    </row>
    <row r="2296" spans="1:9" x14ac:dyDescent="0.3">
      <c r="A2296" s="48" t="s">
        <v>41</v>
      </c>
      <c r="C2296">
        <v>-12000</v>
      </c>
      <c r="D2296">
        <v>13000</v>
      </c>
      <c r="E2296">
        <v>-14000</v>
      </c>
      <c r="F2296">
        <v>30000</v>
      </c>
      <c r="G2296">
        <v>-14000</v>
      </c>
      <c r="H2296">
        <v>-14000</v>
      </c>
      <c r="I2296">
        <v>-14000</v>
      </c>
    </row>
    <row r="2297" spans="1:9" x14ac:dyDescent="0.3">
      <c r="A2297" s="48" t="s">
        <v>42</v>
      </c>
      <c r="C2297">
        <v>-11000</v>
      </c>
      <c r="D2297">
        <v>12000</v>
      </c>
      <c r="E2297">
        <v>-15000</v>
      </c>
      <c r="F2297">
        <v>29000</v>
      </c>
      <c r="G2297">
        <v>-15000</v>
      </c>
      <c r="H2297">
        <v>-15000</v>
      </c>
      <c r="I2297">
        <v>-15000</v>
      </c>
    </row>
    <row r="2298" spans="1:9" x14ac:dyDescent="0.3">
      <c r="A2298" s="48" t="s">
        <v>43</v>
      </c>
      <c r="C2298">
        <v>-10000</v>
      </c>
      <c r="D2298">
        <v>11000</v>
      </c>
      <c r="E2298">
        <v>-16000</v>
      </c>
      <c r="F2298">
        <v>28000</v>
      </c>
      <c r="G2298">
        <v>-16000</v>
      </c>
      <c r="H2298">
        <v>-16000</v>
      </c>
      <c r="I2298">
        <v>-16000</v>
      </c>
    </row>
    <row r="2299" spans="1:9" x14ac:dyDescent="0.3">
      <c r="A2299" s="48" t="s">
        <v>44</v>
      </c>
      <c r="C2299">
        <v>-9000</v>
      </c>
      <c r="D2299">
        <v>10000</v>
      </c>
      <c r="E2299">
        <v>-17000</v>
      </c>
      <c r="F2299">
        <v>27000</v>
      </c>
      <c r="G2299">
        <v>-17000</v>
      </c>
      <c r="H2299">
        <v>-17000</v>
      </c>
      <c r="I2299">
        <v>-17000</v>
      </c>
    </row>
    <row r="2300" spans="1:9" x14ac:dyDescent="0.3">
      <c r="A2300" s="48" t="s">
        <v>54</v>
      </c>
      <c r="C2300">
        <v>-8000</v>
      </c>
      <c r="D2300">
        <v>9000</v>
      </c>
      <c r="E2300">
        <v>-18000</v>
      </c>
      <c r="F2300">
        <v>26000</v>
      </c>
      <c r="G2300">
        <v>-18000</v>
      </c>
      <c r="H2300">
        <v>-18000</v>
      </c>
      <c r="I2300">
        <v>-18000</v>
      </c>
    </row>
    <row r="2301" spans="1:9" x14ac:dyDescent="0.3">
      <c r="A2301" s="48" t="s">
        <v>55</v>
      </c>
      <c r="C2301">
        <v>-7000</v>
      </c>
      <c r="D2301">
        <v>8000</v>
      </c>
      <c r="E2301">
        <v>-19000</v>
      </c>
      <c r="F2301">
        <v>25000</v>
      </c>
      <c r="G2301">
        <v>-19000</v>
      </c>
      <c r="H2301">
        <v>-19000</v>
      </c>
      <c r="I2301">
        <v>-19000</v>
      </c>
    </row>
    <row r="2302" spans="1:9" x14ac:dyDescent="0.3">
      <c r="A2302" s="48" t="s">
        <v>56</v>
      </c>
      <c r="C2302">
        <v>-6000</v>
      </c>
      <c r="D2302">
        <v>7000</v>
      </c>
      <c r="E2302">
        <v>-20000</v>
      </c>
      <c r="F2302">
        <v>24000</v>
      </c>
      <c r="G2302">
        <v>-20000</v>
      </c>
      <c r="H2302">
        <v>-20000</v>
      </c>
      <c r="I2302">
        <v>-20000</v>
      </c>
    </row>
    <row r="2303" spans="1:9" x14ac:dyDescent="0.3">
      <c r="A2303" s="48" t="s">
        <v>57</v>
      </c>
      <c r="C2303">
        <v>-5000</v>
      </c>
      <c r="D2303">
        <v>6000</v>
      </c>
      <c r="E2303">
        <v>-21000</v>
      </c>
      <c r="F2303">
        <v>23000</v>
      </c>
      <c r="G2303">
        <v>-21000</v>
      </c>
      <c r="H2303">
        <v>-21000</v>
      </c>
      <c r="I2303">
        <v>-21000</v>
      </c>
    </row>
    <row r="2304" spans="1:9" x14ac:dyDescent="0.3">
      <c r="A2304" s="48" t="s">
        <v>58</v>
      </c>
      <c r="C2304">
        <v>-4000</v>
      </c>
      <c r="D2304">
        <v>5000</v>
      </c>
      <c r="E2304">
        <v>-22000</v>
      </c>
      <c r="F2304">
        <v>22000</v>
      </c>
      <c r="G2304">
        <v>-22000</v>
      </c>
      <c r="H2304">
        <v>-22000</v>
      </c>
      <c r="I2304">
        <v>-22000</v>
      </c>
    </row>
    <row r="2305" spans="1:9" x14ac:dyDescent="0.3">
      <c r="A2305" s="14" t="s">
        <v>49</v>
      </c>
    </row>
    <row r="2306" spans="1:9" x14ac:dyDescent="0.3">
      <c r="A2306" s="15" t="s">
        <v>34</v>
      </c>
    </row>
    <row r="2307" spans="1:9" x14ac:dyDescent="0.3">
      <c r="A2307" s="48" t="s">
        <v>35</v>
      </c>
      <c r="C2307">
        <v>-5000</v>
      </c>
      <c r="D2307">
        <v>-5000</v>
      </c>
      <c r="E2307">
        <v>1000</v>
      </c>
      <c r="F2307">
        <v>39000</v>
      </c>
      <c r="G2307">
        <v>-5000</v>
      </c>
      <c r="H2307">
        <v>-5000</v>
      </c>
      <c r="I2307">
        <v>-5000</v>
      </c>
    </row>
    <row r="2308" spans="1:9" x14ac:dyDescent="0.3">
      <c r="A2308" s="48" t="s">
        <v>41</v>
      </c>
      <c r="C2308">
        <v>-4000</v>
      </c>
      <c r="D2308">
        <v>-6000</v>
      </c>
      <c r="E2308">
        <v>0</v>
      </c>
      <c r="F2308">
        <v>38000</v>
      </c>
      <c r="G2308">
        <v>-6000</v>
      </c>
      <c r="H2308">
        <v>-6000</v>
      </c>
      <c r="I2308">
        <v>-6000</v>
      </c>
    </row>
    <row r="2309" spans="1:9" x14ac:dyDescent="0.3">
      <c r="A2309" s="48" t="s">
        <v>42</v>
      </c>
      <c r="C2309">
        <v>-3000</v>
      </c>
      <c r="D2309">
        <v>-7000</v>
      </c>
      <c r="E2309">
        <v>-1000</v>
      </c>
      <c r="F2309">
        <v>37000</v>
      </c>
      <c r="G2309">
        <v>-7000</v>
      </c>
      <c r="H2309">
        <v>-7000</v>
      </c>
      <c r="I2309">
        <v>-7000</v>
      </c>
    </row>
    <row r="2310" spans="1:9" x14ac:dyDescent="0.3">
      <c r="A2310" s="48" t="s">
        <v>43</v>
      </c>
      <c r="C2310">
        <v>-2000</v>
      </c>
      <c r="D2310">
        <v>-8000</v>
      </c>
      <c r="E2310">
        <v>-2000</v>
      </c>
      <c r="F2310">
        <v>36000</v>
      </c>
      <c r="G2310">
        <v>-8000</v>
      </c>
      <c r="H2310">
        <v>-8000</v>
      </c>
      <c r="I2310">
        <v>-8000</v>
      </c>
    </row>
    <row r="2311" spans="1:9" x14ac:dyDescent="0.3">
      <c r="A2311" s="48" t="s">
        <v>44</v>
      </c>
      <c r="C2311">
        <v>-1000</v>
      </c>
      <c r="D2311">
        <v>-9000</v>
      </c>
      <c r="E2311">
        <v>-3000</v>
      </c>
      <c r="F2311">
        <v>35000</v>
      </c>
      <c r="G2311">
        <v>-9000</v>
      </c>
      <c r="H2311">
        <v>-9000</v>
      </c>
      <c r="I2311">
        <v>-9000</v>
      </c>
    </row>
    <row r="2312" spans="1:9" x14ac:dyDescent="0.3">
      <c r="A2312" s="48" t="s">
        <v>54</v>
      </c>
      <c r="C2312">
        <v>0</v>
      </c>
      <c r="D2312">
        <v>-10000</v>
      </c>
      <c r="E2312">
        <v>-4000</v>
      </c>
      <c r="F2312">
        <v>34000</v>
      </c>
      <c r="G2312">
        <v>-10000</v>
      </c>
      <c r="H2312">
        <v>-10000</v>
      </c>
      <c r="I2312">
        <v>-10000</v>
      </c>
    </row>
    <row r="2313" spans="1:9" x14ac:dyDescent="0.3">
      <c r="A2313" s="48" t="s">
        <v>55</v>
      </c>
      <c r="C2313">
        <v>1000</v>
      </c>
      <c r="D2313">
        <v>-11000</v>
      </c>
      <c r="E2313">
        <v>-5000</v>
      </c>
      <c r="F2313">
        <v>33000</v>
      </c>
      <c r="G2313">
        <v>-11000</v>
      </c>
      <c r="H2313">
        <v>-11000</v>
      </c>
      <c r="I2313">
        <v>-11000</v>
      </c>
    </row>
    <row r="2314" spans="1:9" x14ac:dyDescent="0.3">
      <c r="A2314" s="48" t="s">
        <v>56</v>
      </c>
      <c r="C2314">
        <v>2000</v>
      </c>
      <c r="D2314">
        <v>-12000</v>
      </c>
      <c r="E2314">
        <v>-6000</v>
      </c>
      <c r="F2314">
        <v>32000</v>
      </c>
      <c r="G2314">
        <v>-12000</v>
      </c>
      <c r="H2314">
        <v>-12000</v>
      </c>
      <c r="I2314">
        <v>-12000</v>
      </c>
    </row>
    <row r="2315" spans="1:9" x14ac:dyDescent="0.3">
      <c r="A2315" s="48" t="s">
        <v>57</v>
      </c>
      <c r="C2315">
        <v>3000</v>
      </c>
      <c r="D2315">
        <v>-13000</v>
      </c>
      <c r="E2315">
        <v>-7000</v>
      </c>
      <c r="F2315">
        <v>31000</v>
      </c>
      <c r="G2315">
        <v>-13000</v>
      </c>
      <c r="H2315">
        <v>-13000</v>
      </c>
      <c r="I2315">
        <v>-13000</v>
      </c>
    </row>
    <row r="2316" spans="1:9" x14ac:dyDescent="0.3">
      <c r="A2316" s="48" t="s">
        <v>58</v>
      </c>
      <c r="C2316">
        <v>4000</v>
      </c>
      <c r="D2316">
        <v>-14000</v>
      </c>
      <c r="E2316">
        <v>-8000</v>
      </c>
      <c r="F2316">
        <v>30000</v>
      </c>
      <c r="G2316">
        <v>-14000</v>
      </c>
      <c r="H2316">
        <v>-14000</v>
      </c>
      <c r="I2316">
        <v>-14000</v>
      </c>
    </row>
    <row r="2317" spans="1:9" x14ac:dyDescent="0.3">
      <c r="A2317" s="15" t="s">
        <v>46</v>
      </c>
    </row>
    <row r="2318" spans="1:9" x14ac:dyDescent="0.3">
      <c r="A2318" s="48" t="s">
        <v>35</v>
      </c>
      <c r="C2318">
        <v>-7000</v>
      </c>
      <c r="D2318">
        <v>-1000</v>
      </c>
      <c r="E2318">
        <v>-1000</v>
      </c>
      <c r="F2318">
        <v>37000</v>
      </c>
      <c r="G2318">
        <v>-7000</v>
      </c>
      <c r="H2318">
        <v>-7000</v>
      </c>
      <c r="I2318">
        <v>-7000</v>
      </c>
    </row>
    <row r="2319" spans="1:9" x14ac:dyDescent="0.3">
      <c r="A2319" s="48" t="s">
        <v>41</v>
      </c>
      <c r="C2319">
        <v>-6000</v>
      </c>
      <c r="D2319">
        <v>-2000</v>
      </c>
      <c r="E2319">
        <v>-2000</v>
      </c>
      <c r="F2319">
        <v>36000</v>
      </c>
      <c r="G2319">
        <v>-8000</v>
      </c>
      <c r="H2319">
        <v>-8000</v>
      </c>
      <c r="I2319">
        <v>-8000</v>
      </c>
    </row>
    <row r="2320" spans="1:9" x14ac:dyDescent="0.3">
      <c r="A2320" s="48" t="s">
        <v>42</v>
      </c>
      <c r="C2320">
        <v>-5000</v>
      </c>
      <c r="D2320">
        <v>-3000</v>
      </c>
      <c r="E2320">
        <v>-3000</v>
      </c>
      <c r="F2320">
        <v>35000</v>
      </c>
      <c r="G2320">
        <v>-9000</v>
      </c>
      <c r="H2320">
        <v>-9000</v>
      </c>
      <c r="I2320">
        <v>-9000</v>
      </c>
    </row>
    <row r="2321" spans="1:9" x14ac:dyDescent="0.3">
      <c r="A2321" s="48" t="s">
        <v>43</v>
      </c>
      <c r="C2321">
        <v>-4000</v>
      </c>
      <c r="D2321">
        <v>-4000</v>
      </c>
      <c r="E2321">
        <v>-4000</v>
      </c>
      <c r="F2321">
        <v>34000</v>
      </c>
      <c r="G2321">
        <v>-10000</v>
      </c>
      <c r="H2321">
        <v>-10000</v>
      </c>
      <c r="I2321">
        <v>-10000</v>
      </c>
    </row>
    <row r="2322" spans="1:9" x14ac:dyDescent="0.3">
      <c r="A2322" s="48" t="s">
        <v>44</v>
      </c>
      <c r="C2322">
        <v>-3000</v>
      </c>
      <c r="D2322">
        <v>-5000</v>
      </c>
      <c r="E2322">
        <v>-5000</v>
      </c>
      <c r="F2322">
        <v>33000</v>
      </c>
      <c r="G2322">
        <v>-11000</v>
      </c>
      <c r="H2322">
        <v>-11000</v>
      </c>
      <c r="I2322">
        <v>-11000</v>
      </c>
    </row>
    <row r="2323" spans="1:9" x14ac:dyDescent="0.3">
      <c r="A2323" s="48" t="s">
        <v>54</v>
      </c>
      <c r="C2323">
        <v>-2000</v>
      </c>
      <c r="D2323">
        <v>-6000</v>
      </c>
      <c r="E2323">
        <v>-6000</v>
      </c>
      <c r="F2323">
        <v>32000</v>
      </c>
      <c r="G2323">
        <v>-12000</v>
      </c>
      <c r="H2323">
        <v>-12000</v>
      </c>
      <c r="I2323">
        <v>-12000</v>
      </c>
    </row>
    <row r="2324" spans="1:9" x14ac:dyDescent="0.3">
      <c r="A2324" s="48" t="s">
        <v>55</v>
      </c>
      <c r="C2324">
        <v>-1000</v>
      </c>
      <c r="D2324">
        <v>-7000</v>
      </c>
      <c r="E2324">
        <v>-7000</v>
      </c>
      <c r="F2324">
        <v>31000</v>
      </c>
      <c r="G2324">
        <v>-13000</v>
      </c>
      <c r="H2324">
        <v>-13000</v>
      </c>
      <c r="I2324">
        <v>-13000</v>
      </c>
    </row>
    <row r="2325" spans="1:9" x14ac:dyDescent="0.3">
      <c r="A2325" s="48" t="s">
        <v>56</v>
      </c>
      <c r="C2325">
        <v>0</v>
      </c>
      <c r="D2325">
        <v>-8000</v>
      </c>
      <c r="E2325">
        <v>-8000</v>
      </c>
      <c r="F2325">
        <v>30000</v>
      </c>
      <c r="G2325">
        <v>-14000</v>
      </c>
      <c r="H2325">
        <v>-14000</v>
      </c>
      <c r="I2325">
        <v>-14000</v>
      </c>
    </row>
    <row r="2326" spans="1:9" x14ac:dyDescent="0.3">
      <c r="A2326" s="48" t="s">
        <v>57</v>
      </c>
      <c r="C2326">
        <v>1000</v>
      </c>
      <c r="D2326">
        <v>-9000</v>
      </c>
      <c r="E2326">
        <v>-9000</v>
      </c>
      <c r="F2326">
        <v>29000</v>
      </c>
      <c r="G2326">
        <v>-15000</v>
      </c>
      <c r="H2326">
        <v>-15000</v>
      </c>
      <c r="I2326">
        <v>-15000</v>
      </c>
    </row>
    <row r="2327" spans="1:9" x14ac:dyDescent="0.3">
      <c r="A2327" s="48" t="s">
        <v>58</v>
      </c>
      <c r="C2327">
        <v>2000</v>
      </c>
      <c r="D2327">
        <v>-10000</v>
      </c>
      <c r="E2327">
        <v>-10000</v>
      </c>
      <c r="F2327">
        <v>28000</v>
      </c>
      <c r="G2327">
        <v>-16000</v>
      </c>
      <c r="H2327">
        <v>-16000</v>
      </c>
      <c r="I2327">
        <v>-16000</v>
      </c>
    </row>
    <row r="2328" spans="1:9" x14ac:dyDescent="0.3">
      <c r="A2328" s="15" t="s">
        <v>47</v>
      </c>
    </row>
    <row r="2329" spans="1:9" x14ac:dyDescent="0.3">
      <c r="A2329" s="48" t="s">
        <v>35</v>
      </c>
      <c r="C2329">
        <v>-8000</v>
      </c>
      <c r="D2329">
        <v>1000</v>
      </c>
      <c r="E2329">
        <v>-2000</v>
      </c>
      <c r="F2329">
        <v>36000</v>
      </c>
      <c r="G2329">
        <v>-8000</v>
      </c>
      <c r="H2329">
        <v>-8000</v>
      </c>
      <c r="I2329">
        <v>-8000</v>
      </c>
    </row>
    <row r="2330" spans="1:9" x14ac:dyDescent="0.3">
      <c r="A2330" s="48" t="s">
        <v>41</v>
      </c>
      <c r="C2330">
        <v>-7000</v>
      </c>
      <c r="D2330">
        <v>0</v>
      </c>
      <c r="E2330">
        <v>-3000</v>
      </c>
      <c r="F2330">
        <v>35000</v>
      </c>
      <c r="G2330">
        <v>-9000</v>
      </c>
      <c r="H2330">
        <v>-9000</v>
      </c>
      <c r="I2330">
        <v>-9000</v>
      </c>
    </row>
    <row r="2331" spans="1:9" x14ac:dyDescent="0.3">
      <c r="A2331" s="48" t="s">
        <v>42</v>
      </c>
      <c r="C2331">
        <v>-6000</v>
      </c>
      <c r="D2331">
        <v>-1000</v>
      </c>
      <c r="E2331">
        <v>-4000</v>
      </c>
      <c r="F2331">
        <v>34000</v>
      </c>
      <c r="G2331">
        <v>-10000</v>
      </c>
      <c r="H2331">
        <v>-10000</v>
      </c>
      <c r="I2331">
        <v>-10000</v>
      </c>
    </row>
    <row r="2332" spans="1:9" x14ac:dyDescent="0.3">
      <c r="A2332" s="48" t="s">
        <v>43</v>
      </c>
      <c r="C2332">
        <v>-5000</v>
      </c>
      <c r="D2332">
        <v>-2000</v>
      </c>
      <c r="E2332">
        <v>-5000</v>
      </c>
      <c r="F2332">
        <v>33000</v>
      </c>
      <c r="G2332">
        <v>-11000</v>
      </c>
      <c r="H2332">
        <v>-11000</v>
      </c>
      <c r="I2332">
        <v>-11000</v>
      </c>
    </row>
    <row r="2333" spans="1:9" x14ac:dyDescent="0.3">
      <c r="A2333" s="48" t="s">
        <v>44</v>
      </c>
      <c r="C2333">
        <v>-4000</v>
      </c>
      <c r="D2333">
        <v>-3000</v>
      </c>
      <c r="E2333">
        <v>-6000</v>
      </c>
      <c r="F2333">
        <v>32000</v>
      </c>
      <c r="G2333">
        <v>-12000</v>
      </c>
      <c r="H2333">
        <v>-12000</v>
      </c>
      <c r="I2333">
        <v>-12000</v>
      </c>
    </row>
    <row r="2334" spans="1:9" x14ac:dyDescent="0.3">
      <c r="A2334" s="48" t="s">
        <v>54</v>
      </c>
      <c r="C2334">
        <v>-3000</v>
      </c>
      <c r="D2334">
        <v>-4000</v>
      </c>
      <c r="E2334">
        <v>-7000</v>
      </c>
      <c r="F2334">
        <v>31000</v>
      </c>
      <c r="G2334">
        <v>-13000</v>
      </c>
      <c r="H2334">
        <v>-13000</v>
      </c>
      <c r="I2334">
        <v>-13000</v>
      </c>
    </row>
    <row r="2335" spans="1:9" x14ac:dyDescent="0.3">
      <c r="A2335" s="48" t="s">
        <v>55</v>
      </c>
      <c r="C2335">
        <v>-2000</v>
      </c>
      <c r="D2335">
        <v>-5000</v>
      </c>
      <c r="E2335">
        <v>-8000</v>
      </c>
      <c r="F2335">
        <v>30000</v>
      </c>
      <c r="G2335">
        <v>-14000</v>
      </c>
      <c r="H2335">
        <v>-14000</v>
      </c>
      <c r="I2335">
        <v>-14000</v>
      </c>
    </row>
    <row r="2336" spans="1:9" x14ac:dyDescent="0.3">
      <c r="A2336" s="48" t="s">
        <v>56</v>
      </c>
      <c r="C2336">
        <v>-1000</v>
      </c>
      <c r="D2336">
        <v>-6000</v>
      </c>
      <c r="E2336">
        <v>-9000</v>
      </c>
      <c r="F2336">
        <v>29000</v>
      </c>
      <c r="G2336">
        <v>-15000</v>
      </c>
      <c r="H2336">
        <v>-15000</v>
      </c>
      <c r="I2336">
        <v>-15000</v>
      </c>
    </row>
    <row r="2337" spans="1:9" x14ac:dyDescent="0.3">
      <c r="A2337" s="48" t="s">
        <v>57</v>
      </c>
      <c r="C2337">
        <v>0</v>
      </c>
      <c r="D2337">
        <v>-7000</v>
      </c>
      <c r="E2337">
        <v>-10000</v>
      </c>
      <c r="F2337">
        <v>28000</v>
      </c>
      <c r="G2337">
        <v>-16000</v>
      </c>
      <c r="H2337">
        <v>-16000</v>
      </c>
      <c r="I2337">
        <v>-16000</v>
      </c>
    </row>
    <row r="2338" spans="1:9" x14ac:dyDescent="0.3">
      <c r="A2338" s="48" t="s">
        <v>58</v>
      </c>
      <c r="C2338">
        <v>1000</v>
      </c>
      <c r="D2338">
        <v>-8000</v>
      </c>
      <c r="E2338">
        <v>-11000</v>
      </c>
      <c r="F2338">
        <v>27000</v>
      </c>
      <c r="G2338">
        <v>-17000</v>
      </c>
      <c r="H2338">
        <v>-17000</v>
      </c>
      <c r="I2338">
        <v>-17000</v>
      </c>
    </row>
    <row r="2339" spans="1:9" x14ac:dyDescent="0.3">
      <c r="A2339" s="15" t="s">
        <v>48</v>
      </c>
    </row>
    <row r="2340" spans="1:9" x14ac:dyDescent="0.3">
      <c r="A2340" s="48" t="s">
        <v>35</v>
      </c>
      <c r="C2340">
        <v>-9000</v>
      </c>
      <c r="D2340">
        <v>3000</v>
      </c>
      <c r="E2340">
        <v>-3000</v>
      </c>
      <c r="F2340">
        <v>35000</v>
      </c>
      <c r="G2340">
        <v>-9000</v>
      </c>
      <c r="H2340">
        <v>-9000</v>
      </c>
      <c r="I2340">
        <v>-9000</v>
      </c>
    </row>
    <row r="2341" spans="1:9" x14ac:dyDescent="0.3">
      <c r="A2341" s="48" t="s">
        <v>41</v>
      </c>
      <c r="C2341">
        <v>-8000</v>
      </c>
      <c r="D2341">
        <v>2000</v>
      </c>
      <c r="E2341">
        <v>-4000</v>
      </c>
      <c r="F2341">
        <v>34000</v>
      </c>
      <c r="G2341">
        <v>-10000</v>
      </c>
      <c r="H2341">
        <v>-10000</v>
      </c>
      <c r="I2341">
        <v>-10000</v>
      </c>
    </row>
    <row r="2342" spans="1:9" x14ac:dyDescent="0.3">
      <c r="A2342" s="48" t="s">
        <v>42</v>
      </c>
      <c r="C2342">
        <v>-7000</v>
      </c>
      <c r="D2342">
        <v>1000</v>
      </c>
      <c r="E2342">
        <v>-5000</v>
      </c>
      <c r="F2342">
        <v>33000</v>
      </c>
      <c r="G2342">
        <v>-11000</v>
      </c>
      <c r="H2342">
        <v>-11000</v>
      </c>
      <c r="I2342">
        <v>-11000</v>
      </c>
    </row>
    <row r="2343" spans="1:9" x14ac:dyDescent="0.3">
      <c r="A2343" s="48" t="s">
        <v>43</v>
      </c>
      <c r="C2343">
        <v>-6000</v>
      </c>
      <c r="D2343">
        <v>0</v>
      </c>
      <c r="E2343">
        <v>-6000</v>
      </c>
      <c r="F2343">
        <v>32000</v>
      </c>
      <c r="G2343">
        <v>-12000</v>
      </c>
      <c r="H2343">
        <v>-12000</v>
      </c>
      <c r="I2343">
        <v>-12000</v>
      </c>
    </row>
    <row r="2344" spans="1:9" x14ac:dyDescent="0.3">
      <c r="A2344" s="48" t="s">
        <v>44</v>
      </c>
      <c r="C2344">
        <v>-5000</v>
      </c>
      <c r="D2344">
        <v>-1000</v>
      </c>
      <c r="E2344">
        <v>-7000</v>
      </c>
      <c r="F2344">
        <v>31000</v>
      </c>
      <c r="G2344">
        <v>-13000</v>
      </c>
      <c r="H2344">
        <v>-13000</v>
      </c>
      <c r="I2344">
        <v>-13000</v>
      </c>
    </row>
    <row r="2345" spans="1:9" x14ac:dyDescent="0.3">
      <c r="A2345" s="48" t="s">
        <v>54</v>
      </c>
      <c r="C2345">
        <v>-4000</v>
      </c>
      <c r="D2345">
        <v>-2000</v>
      </c>
      <c r="E2345">
        <v>-8000</v>
      </c>
      <c r="F2345">
        <v>30000</v>
      </c>
      <c r="G2345">
        <v>-14000</v>
      </c>
      <c r="H2345">
        <v>-14000</v>
      </c>
      <c r="I2345">
        <v>-14000</v>
      </c>
    </row>
    <row r="2346" spans="1:9" x14ac:dyDescent="0.3">
      <c r="A2346" s="48" t="s">
        <v>55</v>
      </c>
      <c r="C2346">
        <v>-3000</v>
      </c>
      <c r="D2346">
        <v>-3000</v>
      </c>
      <c r="E2346">
        <v>-9000</v>
      </c>
      <c r="F2346">
        <v>29000</v>
      </c>
      <c r="G2346">
        <v>-15000</v>
      </c>
      <c r="H2346">
        <v>-15000</v>
      </c>
      <c r="I2346">
        <v>-15000</v>
      </c>
    </row>
    <row r="2347" spans="1:9" x14ac:dyDescent="0.3">
      <c r="A2347" s="48" t="s">
        <v>56</v>
      </c>
      <c r="C2347">
        <v>-2000</v>
      </c>
      <c r="D2347">
        <v>-4000</v>
      </c>
      <c r="E2347">
        <v>-10000</v>
      </c>
      <c r="F2347">
        <v>28000</v>
      </c>
      <c r="G2347">
        <v>-16000</v>
      </c>
      <c r="H2347">
        <v>-16000</v>
      </c>
      <c r="I2347">
        <v>-16000</v>
      </c>
    </row>
    <row r="2348" spans="1:9" x14ac:dyDescent="0.3">
      <c r="A2348" s="48" t="s">
        <v>57</v>
      </c>
      <c r="C2348">
        <v>-1000</v>
      </c>
      <c r="D2348">
        <v>-5000</v>
      </c>
      <c r="E2348">
        <v>-11000</v>
      </c>
      <c r="F2348">
        <v>27000</v>
      </c>
      <c r="G2348">
        <v>-17000</v>
      </c>
      <c r="H2348">
        <v>-17000</v>
      </c>
      <c r="I2348">
        <v>-17000</v>
      </c>
    </row>
    <row r="2349" spans="1:9" x14ac:dyDescent="0.3">
      <c r="A2349" s="48" t="s">
        <v>58</v>
      </c>
      <c r="C2349">
        <v>0</v>
      </c>
      <c r="D2349">
        <v>-6000</v>
      </c>
      <c r="E2349">
        <v>-12000</v>
      </c>
      <c r="F2349">
        <v>26000</v>
      </c>
      <c r="G2349">
        <v>-18000</v>
      </c>
      <c r="H2349">
        <v>-18000</v>
      </c>
      <c r="I2349">
        <v>-18000</v>
      </c>
    </row>
    <row r="2350" spans="1:9" x14ac:dyDescent="0.3">
      <c r="A2350" s="15" t="s">
        <v>59</v>
      </c>
    </row>
    <row r="2351" spans="1:9" x14ac:dyDescent="0.3">
      <c r="A2351" s="48" t="s">
        <v>35</v>
      </c>
      <c r="C2351">
        <v>-10000</v>
      </c>
      <c r="D2351">
        <v>5000</v>
      </c>
      <c r="E2351">
        <v>-4000</v>
      </c>
      <c r="F2351">
        <v>34000</v>
      </c>
      <c r="G2351">
        <v>-10000</v>
      </c>
      <c r="H2351">
        <v>-10000</v>
      </c>
      <c r="I2351">
        <v>-10000</v>
      </c>
    </row>
    <row r="2352" spans="1:9" x14ac:dyDescent="0.3">
      <c r="A2352" s="48" t="s">
        <v>41</v>
      </c>
      <c r="C2352">
        <v>-9000</v>
      </c>
      <c r="D2352">
        <v>4000</v>
      </c>
      <c r="E2352">
        <v>-5000</v>
      </c>
      <c r="F2352">
        <v>33000</v>
      </c>
      <c r="G2352">
        <v>-11000</v>
      </c>
      <c r="H2352">
        <v>-11000</v>
      </c>
      <c r="I2352">
        <v>-11000</v>
      </c>
    </row>
    <row r="2353" spans="1:9" x14ac:dyDescent="0.3">
      <c r="A2353" s="48" t="s">
        <v>42</v>
      </c>
      <c r="C2353">
        <v>-8000</v>
      </c>
      <c r="D2353">
        <v>3000</v>
      </c>
      <c r="E2353">
        <v>-6000</v>
      </c>
      <c r="F2353">
        <v>32000</v>
      </c>
      <c r="G2353">
        <v>-12000</v>
      </c>
      <c r="H2353">
        <v>-12000</v>
      </c>
      <c r="I2353">
        <v>-12000</v>
      </c>
    </row>
    <row r="2354" spans="1:9" x14ac:dyDescent="0.3">
      <c r="A2354" s="48" t="s">
        <v>43</v>
      </c>
      <c r="C2354">
        <v>-7000</v>
      </c>
      <c r="D2354">
        <v>2000</v>
      </c>
      <c r="E2354">
        <v>-7000</v>
      </c>
      <c r="F2354">
        <v>31000</v>
      </c>
      <c r="G2354">
        <v>-13000</v>
      </c>
      <c r="H2354">
        <v>-13000</v>
      </c>
      <c r="I2354">
        <v>-13000</v>
      </c>
    </row>
    <row r="2355" spans="1:9" x14ac:dyDescent="0.3">
      <c r="A2355" s="48" t="s">
        <v>44</v>
      </c>
      <c r="C2355">
        <v>-6000</v>
      </c>
      <c r="D2355">
        <v>1000</v>
      </c>
      <c r="E2355">
        <v>-8000</v>
      </c>
      <c r="F2355">
        <v>30000</v>
      </c>
      <c r="G2355">
        <v>-14000</v>
      </c>
      <c r="H2355">
        <v>-14000</v>
      </c>
      <c r="I2355">
        <v>-14000</v>
      </c>
    </row>
    <row r="2356" spans="1:9" x14ac:dyDescent="0.3">
      <c r="A2356" s="48" t="s">
        <v>54</v>
      </c>
      <c r="C2356">
        <v>-5000</v>
      </c>
      <c r="D2356">
        <v>0</v>
      </c>
      <c r="E2356">
        <v>-9000</v>
      </c>
      <c r="F2356">
        <v>29000</v>
      </c>
      <c r="G2356">
        <v>-15000</v>
      </c>
      <c r="H2356">
        <v>-15000</v>
      </c>
      <c r="I2356">
        <v>-15000</v>
      </c>
    </row>
    <row r="2357" spans="1:9" x14ac:dyDescent="0.3">
      <c r="A2357" s="48" t="s">
        <v>55</v>
      </c>
      <c r="C2357">
        <v>-4000</v>
      </c>
      <c r="D2357">
        <v>-1000</v>
      </c>
      <c r="E2357">
        <v>-10000</v>
      </c>
      <c r="F2357">
        <v>28000</v>
      </c>
      <c r="G2357">
        <v>-16000</v>
      </c>
      <c r="H2357">
        <v>-16000</v>
      </c>
      <c r="I2357">
        <v>-16000</v>
      </c>
    </row>
    <row r="2358" spans="1:9" x14ac:dyDescent="0.3">
      <c r="A2358" s="48" t="s">
        <v>56</v>
      </c>
      <c r="C2358">
        <v>-3000</v>
      </c>
      <c r="D2358">
        <v>-2000</v>
      </c>
      <c r="E2358">
        <v>-11000</v>
      </c>
      <c r="F2358">
        <v>27000</v>
      </c>
      <c r="G2358">
        <v>-17000</v>
      </c>
      <c r="H2358">
        <v>-17000</v>
      </c>
      <c r="I2358">
        <v>-17000</v>
      </c>
    </row>
    <row r="2359" spans="1:9" x14ac:dyDescent="0.3">
      <c r="A2359" s="48" t="s">
        <v>57</v>
      </c>
      <c r="C2359">
        <v>-2000</v>
      </c>
      <c r="D2359">
        <v>-3000</v>
      </c>
      <c r="E2359">
        <v>-12000</v>
      </c>
      <c r="F2359">
        <v>26000</v>
      </c>
      <c r="G2359">
        <v>-18000</v>
      </c>
      <c r="H2359">
        <v>-18000</v>
      </c>
      <c r="I2359">
        <v>-18000</v>
      </c>
    </row>
    <row r="2360" spans="1:9" x14ac:dyDescent="0.3">
      <c r="A2360" s="48" t="s">
        <v>58</v>
      </c>
      <c r="C2360">
        <v>-1000</v>
      </c>
      <c r="D2360">
        <v>-4000</v>
      </c>
      <c r="E2360">
        <v>-13000</v>
      </c>
      <c r="F2360">
        <v>25000</v>
      </c>
      <c r="G2360">
        <v>-19000</v>
      </c>
      <c r="H2360">
        <v>-19000</v>
      </c>
      <c r="I2360">
        <v>-19000</v>
      </c>
    </row>
    <row r="2361" spans="1:9" x14ac:dyDescent="0.3">
      <c r="A2361" s="15" t="s">
        <v>60</v>
      </c>
    </row>
    <row r="2362" spans="1:9" x14ac:dyDescent="0.3">
      <c r="A2362" s="48" t="s">
        <v>35</v>
      </c>
      <c r="C2362">
        <v>-11000</v>
      </c>
      <c r="D2362">
        <v>7000</v>
      </c>
      <c r="E2362">
        <v>-5000</v>
      </c>
      <c r="F2362">
        <v>33000</v>
      </c>
      <c r="G2362">
        <v>-11000</v>
      </c>
      <c r="H2362">
        <v>-11000</v>
      </c>
      <c r="I2362">
        <v>-11000</v>
      </c>
    </row>
    <row r="2363" spans="1:9" x14ac:dyDescent="0.3">
      <c r="A2363" s="48" t="s">
        <v>41</v>
      </c>
      <c r="C2363">
        <v>-10000</v>
      </c>
      <c r="D2363">
        <v>6000</v>
      </c>
      <c r="E2363">
        <v>-6000</v>
      </c>
      <c r="F2363">
        <v>32000</v>
      </c>
      <c r="G2363">
        <v>-12000</v>
      </c>
      <c r="H2363">
        <v>-12000</v>
      </c>
      <c r="I2363">
        <v>-12000</v>
      </c>
    </row>
    <row r="2364" spans="1:9" x14ac:dyDescent="0.3">
      <c r="A2364" s="48" t="s">
        <v>42</v>
      </c>
      <c r="C2364">
        <v>-9000</v>
      </c>
      <c r="D2364">
        <v>5000</v>
      </c>
      <c r="E2364">
        <v>-7000</v>
      </c>
      <c r="F2364">
        <v>31000</v>
      </c>
      <c r="G2364">
        <v>-13000</v>
      </c>
      <c r="H2364">
        <v>-13000</v>
      </c>
      <c r="I2364">
        <v>-13000</v>
      </c>
    </row>
    <row r="2365" spans="1:9" x14ac:dyDescent="0.3">
      <c r="A2365" s="48" t="s">
        <v>43</v>
      </c>
      <c r="C2365">
        <v>-8000</v>
      </c>
      <c r="D2365">
        <v>4000</v>
      </c>
      <c r="E2365">
        <v>-8000</v>
      </c>
      <c r="F2365">
        <v>30000</v>
      </c>
      <c r="G2365">
        <v>-14000</v>
      </c>
      <c r="H2365">
        <v>-14000</v>
      </c>
      <c r="I2365">
        <v>-14000</v>
      </c>
    </row>
    <row r="2366" spans="1:9" x14ac:dyDescent="0.3">
      <c r="A2366" s="48" t="s">
        <v>44</v>
      </c>
      <c r="C2366">
        <v>-7000</v>
      </c>
      <c r="D2366">
        <v>3000</v>
      </c>
      <c r="E2366">
        <v>-9000</v>
      </c>
      <c r="F2366">
        <v>29000</v>
      </c>
      <c r="G2366">
        <v>-15000</v>
      </c>
      <c r="H2366">
        <v>-15000</v>
      </c>
      <c r="I2366">
        <v>-15000</v>
      </c>
    </row>
    <row r="2367" spans="1:9" x14ac:dyDescent="0.3">
      <c r="A2367" s="48" t="s">
        <v>54</v>
      </c>
      <c r="C2367">
        <v>-6000</v>
      </c>
      <c r="D2367">
        <v>2000</v>
      </c>
      <c r="E2367">
        <v>-10000</v>
      </c>
      <c r="F2367">
        <v>28000</v>
      </c>
      <c r="G2367">
        <v>-16000</v>
      </c>
      <c r="H2367">
        <v>-16000</v>
      </c>
      <c r="I2367">
        <v>-16000</v>
      </c>
    </row>
    <row r="2368" spans="1:9" x14ac:dyDescent="0.3">
      <c r="A2368" s="48" t="s">
        <v>55</v>
      </c>
      <c r="C2368">
        <v>-5000</v>
      </c>
      <c r="D2368">
        <v>1000</v>
      </c>
      <c r="E2368">
        <v>-11000</v>
      </c>
      <c r="F2368">
        <v>27000</v>
      </c>
      <c r="G2368">
        <v>-17000</v>
      </c>
      <c r="H2368">
        <v>-17000</v>
      </c>
      <c r="I2368">
        <v>-17000</v>
      </c>
    </row>
    <row r="2369" spans="1:9" x14ac:dyDescent="0.3">
      <c r="A2369" s="48" t="s">
        <v>56</v>
      </c>
      <c r="C2369">
        <v>-4000</v>
      </c>
      <c r="D2369">
        <v>0</v>
      </c>
      <c r="E2369">
        <v>-12000</v>
      </c>
      <c r="F2369">
        <v>26000</v>
      </c>
      <c r="G2369">
        <v>-18000</v>
      </c>
      <c r="H2369">
        <v>-18000</v>
      </c>
      <c r="I2369">
        <v>-18000</v>
      </c>
    </row>
    <row r="2370" spans="1:9" x14ac:dyDescent="0.3">
      <c r="A2370" s="48" t="s">
        <v>57</v>
      </c>
      <c r="C2370">
        <v>-3000</v>
      </c>
      <c r="D2370">
        <v>-1000</v>
      </c>
      <c r="E2370">
        <v>-13000</v>
      </c>
      <c r="F2370">
        <v>25000</v>
      </c>
      <c r="G2370">
        <v>-19000</v>
      </c>
      <c r="H2370">
        <v>-19000</v>
      </c>
      <c r="I2370">
        <v>-19000</v>
      </c>
    </row>
    <row r="2371" spans="1:9" x14ac:dyDescent="0.3">
      <c r="A2371" s="48" t="s">
        <v>58</v>
      </c>
      <c r="C2371">
        <v>-2000</v>
      </c>
      <c r="D2371">
        <v>-2000</v>
      </c>
      <c r="E2371">
        <v>-14000</v>
      </c>
      <c r="F2371">
        <v>24000</v>
      </c>
      <c r="G2371">
        <v>-20000</v>
      </c>
      <c r="H2371">
        <v>-20000</v>
      </c>
      <c r="I2371">
        <v>-20000</v>
      </c>
    </row>
    <row r="2372" spans="1:9" x14ac:dyDescent="0.3">
      <c r="A2372" s="15" t="s">
        <v>61</v>
      </c>
    </row>
    <row r="2373" spans="1:9" x14ac:dyDescent="0.3">
      <c r="A2373" s="48" t="s">
        <v>35</v>
      </c>
      <c r="C2373">
        <v>-12000</v>
      </c>
      <c r="D2373">
        <v>9000</v>
      </c>
      <c r="E2373">
        <v>-6000</v>
      </c>
      <c r="F2373">
        <v>32000</v>
      </c>
      <c r="G2373">
        <v>-12000</v>
      </c>
      <c r="H2373">
        <v>-12000</v>
      </c>
      <c r="I2373">
        <v>-12000</v>
      </c>
    </row>
    <row r="2374" spans="1:9" x14ac:dyDescent="0.3">
      <c r="A2374" s="48" t="s">
        <v>41</v>
      </c>
      <c r="C2374">
        <v>-11000</v>
      </c>
      <c r="D2374">
        <v>8000</v>
      </c>
      <c r="E2374">
        <v>-7000</v>
      </c>
      <c r="F2374">
        <v>31000</v>
      </c>
      <c r="G2374">
        <v>-13000</v>
      </c>
      <c r="H2374">
        <v>-13000</v>
      </c>
      <c r="I2374">
        <v>-13000</v>
      </c>
    </row>
    <row r="2375" spans="1:9" x14ac:dyDescent="0.3">
      <c r="A2375" s="48" t="s">
        <v>42</v>
      </c>
      <c r="C2375">
        <v>-10000</v>
      </c>
      <c r="D2375">
        <v>7000</v>
      </c>
      <c r="E2375">
        <v>-8000</v>
      </c>
      <c r="F2375">
        <v>30000</v>
      </c>
      <c r="G2375">
        <v>-14000</v>
      </c>
      <c r="H2375">
        <v>-14000</v>
      </c>
      <c r="I2375">
        <v>-14000</v>
      </c>
    </row>
    <row r="2376" spans="1:9" x14ac:dyDescent="0.3">
      <c r="A2376" s="48" t="s">
        <v>43</v>
      </c>
      <c r="C2376">
        <v>-9000</v>
      </c>
      <c r="D2376">
        <v>6000</v>
      </c>
      <c r="E2376">
        <v>-9000</v>
      </c>
      <c r="F2376">
        <v>29000</v>
      </c>
      <c r="G2376">
        <v>-15000</v>
      </c>
      <c r="H2376">
        <v>-15000</v>
      </c>
      <c r="I2376">
        <v>-15000</v>
      </c>
    </row>
    <row r="2377" spans="1:9" x14ac:dyDescent="0.3">
      <c r="A2377" s="48" t="s">
        <v>44</v>
      </c>
      <c r="C2377">
        <v>-8000</v>
      </c>
      <c r="D2377">
        <v>5000</v>
      </c>
      <c r="E2377">
        <v>-10000</v>
      </c>
      <c r="F2377">
        <v>28000</v>
      </c>
      <c r="G2377">
        <v>-16000</v>
      </c>
      <c r="H2377">
        <v>-16000</v>
      </c>
      <c r="I2377">
        <v>-16000</v>
      </c>
    </row>
    <row r="2378" spans="1:9" x14ac:dyDescent="0.3">
      <c r="A2378" s="48" t="s">
        <v>54</v>
      </c>
      <c r="C2378">
        <v>-7000</v>
      </c>
      <c r="D2378">
        <v>4000</v>
      </c>
      <c r="E2378">
        <v>-11000</v>
      </c>
      <c r="F2378">
        <v>27000</v>
      </c>
      <c r="G2378">
        <v>-17000</v>
      </c>
      <c r="H2378">
        <v>-17000</v>
      </c>
      <c r="I2378">
        <v>-17000</v>
      </c>
    </row>
    <row r="2379" spans="1:9" x14ac:dyDescent="0.3">
      <c r="A2379" s="48" t="s">
        <v>55</v>
      </c>
      <c r="C2379">
        <v>-6000</v>
      </c>
      <c r="D2379">
        <v>3000</v>
      </c>
      <c r="E2379">
        <v>-12000</v>
      </c>
      <c r="F2379">
        <v>26000</v>
      </c>
      <c r="G2379">
        <v>-18000</v>
      </c>
      <c r="H2379">
        <v>-18000</v>
      </c>
      <c r="I2379">
        <v>-18000</v>
      </c>
    </row>
    <row r="2380" spans="1:9" x14ac:dyDescent="0.3">
      <c r="A2380" s="48" t="s">
        <v>56</v>
      </c>
      <c r="C2380">
        <v>-5000</v>
      </c>
      <c r="D2380">
        <v>2000</v>
      </c>
      <c r="E2380">
        <v>-13000</v>
      </c>
      <c r="F2380">
        <v>25000</v>
      </c>
      <c r="G2380">
        <v>-19000</v>
      </c>
      <c r="H2380">
        <v>-19000</v>
      </c>
      <c r="I2380">
        <v>-19000</v>
      </c>
    </row>
    <row r="2381" spans="1:9" x14ac:dyDescent="0.3">
      <c r="A2381" s="48" t="s">
        <v>57</v>
      </c>
      <c r="C2381">
        <v>-4000</v>
      </c>
      <c r="D2381">
        <v>1000</v>
      </c>
      <c r="E2381">
        <v>-14000</v>
      </c>
      <c r="F2381">
        <v>24000</v>
      </c>
      <c r="G2381">
        <v>-20000</v>
      </c>
      <c r="H2381">
        <v>-20000</v>
      </c>
      <c r="I2381">
        <v>-20000</v>
      </c>
    </row>
    <row r="2382" spans="1:9" x14ac:dyDescent="0.3">
      <c r="A2382" s="48" t="s">
        <v>58</v>
      </c>
      <c r="C2382">
        <v>-3000</v>
      </c>
      <c r="D2382">
        <v>0</v>
      </c>
      <c r="E2382">
        <v>-15000</v>
      </c>
      <c r="F2382">
        <v>23000</v>
      </c>
      <c r="G2382">
        <v>-21000</v>
      </c>
      <c r="H2382">
        <v>-21000</v>
      </c>
      <c r="I2382">
        <v>-21000</v>
      </c>
    </row>
    <row r="2383" spans="1:9" x14ac:dyDescent="0.3">
      <c r="A2383" s="15" t="s">
        <v>62</v>
      </c>
    </row>
    <row r="2384" spans="1:9" x14ac:dyDescent="0.3">
      <c r="A2384" s="48" t="s">
        <v>35</v>
      </c>
      <c r="C2384">
        <v>-13000</v>
      </c>
      <c r="D2384">
        <v>11000</v>
      </c>
      <c r="E2384">
        <v>-7000</v>
      </c>
      <c r="F2384">
        <v>31000</v>
      </c>
      <c r="G2384">
        <v>-13000</v>
      </c>
      <c r="H2384">
        <v>-13000</v>
      </c>
      <c r="I2384">
        <v>-13000</v>
      </c>
    </row>
    <row r="2385" spans="1:9" x14ac:dyDescent="0.3">
      <c r="A2385" s="48" t="s">
        <v>41</v>
      </c>
      <c r="C2385">
        <v>-12000</v>
      </c>
      <c r="D2385">
        <v>10000</v>
      </c>
      <c r="E2385">
        <v>-8000</v>
      </c>
      <c r="F2385">
        <v>30000</v>
      </c>
      <c r="G2385">
        <v>-14000</v>
      </c>
      <c r="H2385">
        <v>-14000</v>
      </c>
      <c r="I2385">
        <v>-14000</v>
      </c>
    </row>
    <row r="2386" spans="1:9" x14ac:dyDescent="0.3">
      <c r="A2386" s="48" t="s">
        <v>42</v>
      </c>
      <c r="C2386">
        <v>-11000</v>
      </c>
      <c r="D2386">
        <v>9000</v>
      </c>
      <c r="E2386">
        <v>-9000</v>
      </c>
      <c r="F2386">
        <v>29000</v>
      </c>
      <c r="G2386">
        <v>-15000</v>
      </c>
      <c r="H2386">
        <v>-15000</v>
      </c>
      <c r="I2386">
        <v>-15000</v>
      </c>
    </row>
    <row r="2387" spans="1:9" x14ac:dyDescent="0.3">
      <c r="A2387" s="48" t="s">
        <v>43</v>
      </c>
      <c r="C2387">
        <v>-10000</v>
      </c>
      <c r="D2387">
        <v>8000</v>
      </c>
      <c r="E2387">
        <v>-10000</v>
      </c>
      <c r="F2387">
        <v>28000</v>
      </c>
      <c r="G2387">
        <v>-16000</v>
      </c>
      <c r="H2387">
        <v>-16000</v>
      </c>
      <c r="I2387">
        <v>-16000</v>
      </c>
    </row>
    <row r="2388" spans="1:9" x14ac:dyDescent="0.3">
      <c r="A2388" s="48" t="s">
        <v>44</v>
      </c>
      <c r="C2388">
        <v>-9000</v>
      </c>
      <c r="D2388">
        <v>7000</v>
      </c>
      <c r="E2388">
        <v>-11000</v>
      </c>
      <c r="F2388">
        <v>27000</v>
      </c>
      <c r="G2388">
        <v>-17000</v>
      </c>
      <c r="H2388">
        <v>-17000</v>
      </c>
      <c r="I2388">
        <v>-17000</v>
      </c>
    </row>
    <row r="2389" spans="1:9" x14ac:dyDescent="0.3">
      <c r="A2389" s="48" t="s">
        <v>54</v>
      </c>
      <c r="C2389">
        <v>-8000</v>
      </c>
      <c r="D2389">
        <v>6000</v>
      </c>
      <c r="E2389">
        <v>-12000</v>
      </c>
      <c r="F2389">
        <v>26000</v>
      </c>
      <c r="G2389">
        <v>-18000</v>
      </c>
      <c r="H2389">
        <v>-18000</v>
      </c>
      <c r="I2389">
        <v>-18000</v>
      </c>
    </row>
    <row r="2390" spans="1:9" x14ac:dyDescent="0.3">
      <c r="A2390" s="48" t="s">
        <v>55</v>
      </c>
      <c r="C2390">
        <v>-7000</v>
      </c>
      <c r="D2390">
        <v>5000</v>
      </c>
      <c r="E2390">
        <v>-13000</v>
      </c>
      <c r="F2390">
        <v>25000</v>
      </c>
      <c r="G2390">
        <v>-19000</v>
      </c>
      <c r="H2390">
        <v>-19000</v>
      </c>
      <c r="I2390">
        <v>-19000</v>
      </c>
    </row>
    <row r="2391" spans="1:9" x14ac:dyDescent="0.3">
      <c r="A2391" s="48" t="s">
        <v>56</v>
      </c>
      <c r="C2391">
        <v>-6000</v>
      </c>
      <c r="D2391">
        <v>4000</v>
      </c>
      <c r="E2391">
        <v>-14000</v>
      </c>
      <c r="F2391">
        <v>24000</v>
      </c>
      <c r="G2391">
        <v>-20000</v>
      </c>
      <c r="H2391">
        <v>-20000</v>
      </c>
      <c r="I2391">
        <v>-20000</v>
      </c>
    </row>
    <row r="2392" spans="1:9" x14ac:dyDescent="0.3">
      <c r="A2392" s="48" t="s">
        <v>57</v>
      </c>
      <c r="C2392">
        <v>-5000</v>
      </c>
      <c r="D2392">
        <v>3000</v>
      </c>
      <c r="E2392">
        <v>-15000</v>
      </c>
      <c r="F2392">
        <v>23000</v>
      </c>
      <c r="G2392">
        <v>-21000</v>
      </c>
      <c r="H2392">
        <v>-21000</v>
      </c>
      <c r="I2392">
        <v>-21000</v>
      </c>
    </row>
    <row r="2393" spans="1:9" x14ac:dyDescent="0.3">
      <c r="A2393" s="48" t="s">
        <v>58</v>
      </c>
      <c r="C2393">
        <v>-4000</v>
      </c>
      <c r="D2393">
        <v>2000</v>
      </c>
      <c r="E2393">
        <v>-16000</v>
      </c>
      <c r="F2393">
        <v>22000</v>
      </c>
      <c r="G2393">
        <v>-22000</v>
      </c>
      <c r="H2393">
        <v>-22000</v>
      </c>
      <c r="I2393">
        <v>-22000</v>
      </c>
    </row>
    <row r="2394" spans="1:9" x14ac:dyDescent="0.3">
      <c r="A2394" s="15" t="s">
        <v>63</v>
      </c>
    </row>
    <row r="2395" spans="1:9" x14ac:dyDescent="0.3">
      <c r="A2395" s="48" t="s">
        <v>35</v>
      </c>
      <c r="C2395">
        <v>-14000</v>
      </c>
      <c r="D2395">
        <v>13000</v>
      </c>
      <c r="E2395">
        <v>-8000</v>
      </c>
      <c r="F2395">
        <v>30000</v>
      </c>
      <c r="G2395">
        <v>-14000</v>
      </c>
      <c r="H2395">
        <v>-14000</v>
      </c>
      <c r="I2395">
        <v>-14000</v>
      </c>
    </row>
    <row r="2396" spans="1:9" x14ac:dyDescent="0.3">
      <c r="A2396" s="48" t="s">
        <v>41</v>
      </c>
      <c r="C2396">
        <v>-13000</v>
      </c>
      <c r="D2396">
        <v>12000</v>
      </c>
      <c r="E2396">
        <v>-9000</v>
      </c>
      <c r="F2396">
        <v>29000</v>
      </c>
      <c r="G2396">
        <v>-15000</v>
      </c>
      <c r="H2396">
        <v>-15000</v>
      </c>
      <c r="I2396">
        <v>-15000</v>
      </c>
    </row>
    <row r="2397" spans="1:9" x14ac:dyDescent="0.3">
      <c r="A2397" s="48" t="s">
        <v>42</v>
      </c>
      <c r="C2397">
        <v>-12000</v>
      </c>
      <c r="D2397">
        <v>11000</v>
      </c>
      <c r="E2397">
        <v>-10000</v>
      </c>
      <c r="F2397">
        <v>28000</v>
      </c>
      <c r="G2397">
        <v>-16000</v>
      </c>
      <c r="H2397">
        <v>-16000</v>
      </c>
      <c r="I2397">
        <v>-16000</v>
      </c>
    </row>
    <row r="2398" spans="1:9" x14ac:dyDescent="0.3">
      <c r="A2398" s="48" t="s">
        <v>43</v>
      </c>
      <c r="C2398">
        <v>-11000</v>
      </c>
      <c r="D2398">
        <v>10000</v>
      </c>
      <c r="E2398">
        <v>-11000</v>
      </c>
      <c r="F2398">
        <v>27000</v>
      </c>
      <c r="G2398">
        <v>-17000</v>
      </c>
      <c r="H2398">
        <v>-17000</v>
      </c>
      <c r="I2398">
        <v>-17000</v>
      </c>
    </row>
    <row r="2399" spans="1:9" x14ac:dyDescent="0.3">
      <c r="A2399" s="48" t="s">
        <v>44</v>
      </c>
      <c r="C2399">
        <v>-10000</v>
      </c>
      <c r="D2399">
        <v>9000</v>
      </c>
      <c r="E2399">
        <v>-12000</v>
      </c>
      <c r="F2399">
        <v>26000</v>
      </c>
      <c r="G2399">
        <v>-18000</v>
      </c>
      <c r="H2399">
        <v>-18000</v>
      </c>
      <c r="I2399">
        <v>-18000</v>
      </c>
    </row>
    <row r="2400" spans="1:9" x14ac:dyDescent="0.3">
      <c r="A2400" s="48" t="s">
        <v>54</v>
      </c>
      <c r="C2400">
        <v>-9000</v>
      </c>
      <c r="D2400">
        <v>8000</v>
      </c>
      <c r="E2400">
        <v>-13000</v>
      </c>
      <c r="F2400">
        <v>25000</v>
      </c>
      <c r="G2400">
        <v>-19000</v>
      </c>
      <c r="H2400">
        <v>-19000</v>
      </c>
      <c r="I2400">
        <v>-19000</v>
      </c>
    </row>
    <row r="2401" spans="1:9" x14ac:dyDescent="0.3">
      <c r="A2401" s="48" t="s">
        <v>55</v>
      </c>
      <c r="C2401">
        <v>-8000</v>
      </c>
      <c r="D2401">
        <v>7000</v>
      </c>
      <c r="E2401">
        <v>-14000</v>
      </c>
      <c r="F2401">
        <v>24000</v>
      </c>
      <c r="G2401">
        <v>-20000</v>
      </c>
      <c r="H2401">
        <v>-20000</v>
      </c>
      <c r="I2401">
        <v>-20000</v>
      </c>
    </row>
    <row r="2402" spans="1:9" x14ac:dyDescent="0.3">
      <c r="A2402" s="48" t="s">
        <v>56</v>
      </c>
      <c r="C2402">
        <v>-7000</v>
      </c>
      <c r="D2402">
        <v>6000</v>
      </c>
      <c r="E2402">
        <v>-15000</v>
      </c>
      <c r="F2402">
        <v>23000</v>
      </c>
      <c r="G2402">
        <v>-21000</v>
      </c>
      <c r="H2402">
        <v>-21000</v>
      </c>
      <c r="I2402">
        <v>-21000</v>
      </c>
    </row>
    <row r="2403" spans="1:9" x14ac:dyDescent="0.3">
      <c r="A2403" s="48" t="s">
        <v>57</v>
      </c>
      <c r="C2403">
        <v>-6000</v>
      </c>
      <c r="D2403">
        <v>5000</v>
      </c>
      <c r="E2403">
        <v>-16000</v>
      </c>
      <c r="F2403">
        <v>22000</v>
      </c>
      <c r="G2403">
        <v>-22000</v>
      </c>
      <c r="H2403">
        <v>-22000</v>
      </c>
      <c r="I2403">
        <v>-22000</v>
      </c>
    </row>
    <row r="2404" spans="1:9" x14ac:dyDescent="0.3">
      <c r="A2404" s="48" t="s">
        <v>58</v>
      </c>
      <c r="C2404">
        <v>-5000</v>
      </c>
      <c r="D2404">
        <v>4000</v>
      </c>
      <c r="E2404">
        <v>-17000</v>
      </c>
      <c r="F2404">
        <v>21000</v>
      </c>
      <c r="G2404">
        <v>-23000</v>
      </c>
      <c r="H2404">
        <v>-23000</v>
      </c>
      <c r="I2404">
        <v>-23000</v>
      </c>
    </row>
    <row r="2405" spans="1:9" x14ac:dyDescent="0.3">
      <c r="A2405" s="15" t="s">
        <v>50</v>
      </c>
      <c r="B2405">
        <v>-7000</v>
      </c>
      <c r="C2405">
        <v>-15000</v>
      </c>
      <c r="D2405">
        <v>-75000</v>
      </c>
      <c r="E2405">
        <v>-45000</v>
      </c>
      <c r="F2405">
        <v>335000</v>
      </c>
      <c r="G2405">
        <v>-105000</v>
      </c>
      <c r="H2405">
        <v>-105000</v>
      </c>
      <c r="I2405">
        <v>-98000</v>
      </c>
    </row>
    <row r="2406" spans="1:9" x14ac:dyDescent="0.3">
      <c r="A2406" s="14" t="s">
        <v>50</v>
      </c>
    </row>
    <row r="2407" spans="1:9" x14ac:dyDescent="0.3">
      <c r="A2407" s="15" t="s">
        <v>34</v>
      </c>
    </row>
    <row r="2408" spans="1:9" x14ac:dyDescent="0.3">
      <c r="A2408" s="48" t="s">
        <v>35</v>
      </c>
      <c r="C2408">
        <v>-6000</v>
      </c>
      <c r="D2408">
        <v>-6000</v>
      </c>
      <c r="E2408">
        <v>6000</v>
      </c>
      <c r="F2408">
        <v>38000</v>
      </c>
      <c r="G2408">
        <v>-6000</v>
      </c>
      <c r="H2408">
        <v>-6000</v>
      </c>
      <c r="I2408">
        <v>-6000</v>
      </c>
    </row>
    <row r="2409" spans="1:9" x14ac:dyDescent="0.3">
      <c r="A2409" s="48" t="s">
        <v>41</v>
      </c>
      <c r="C2409">
        <v>-5000</v>
      </c>
      <c r="D2409">
        <v>-7000</v>
      </c>
      <c r="E2409">
        <v>5000</v>
      </c>
      <c r="F2409">
        <v>37000</v>
      </c>
      <c r="G2409">
        <v>-7000</v>
      </c>
      <c r="H2409">
        <v>-7000</v>
      </c>
      <c r="I2409">
        <v>-7000</v>
      </c>
    </row>
    <row r="2410" spans="1:9" x14ac:dyDescent="0.3">
      <c r="A2410" s="48" t="s">
        <v>42</v>
      </c>
      <c r="C2410">
        <v>-4000</v>
      </c>
      <c r="D2410">
        <v>-8000</v>
      </c>
      <c r="E2410">
        <v>4000</v>
      </c>
      <c r="F2410">
        <v>36000</v>
      </c>
      <c r="G2410">
        <v>-8000</v>
      </c>
      <c r="H2410">
        <v>-8000</v>
      </c>
      <c r="I2410">
        <v>-8000</v>
      </c>
    </row>
    <row r="2411" spans="1:9" x14ac:dyDescent="0.3">
      <c r="A2411" s="48" t="s">
        <v>43</v>
      </c>
      <c r="C2411">
        <v>-3000</v>
      </c>
      <c r="D2411">
        <v>-9000</v>
      </c>
      <c r="E2411">
        <v>3000</v>
      </c>
      <c r="F2411">
        <v>35000</v>
      </c>
      <c r="G2411">
        <v>-9000</v>
      </c>
      <c r="H2411">
        <v>-9000</v>
      </c>
      <c r="I2411">
        <v>-9000</v>
      </c>
    </row>
    <row r="2412" spans="1:9" x14ac:dyDescent="0.3">
      <c r="A2412" s="48" t="s">
        <v>44</v>
      </c>
      <c r="C2412">
        <v>-2000</v>
      </c>
      <c r="D2412">
        <v>-10000</v>
      </c>
      <c r="E2412">
        <v>2000</v>
      </c>
      <c r="F2412">
        <v>34000</v>
      </c>
      <c r="G2412">
        <v>-10000</v>
      </c>
      <c r="H2412">
        <v>-10000</v>
      </c>
      <c r="I2412">
        <v>-10000</v>
      </c>
    </row>
    <row r="2413" spans="1:9" x14ac:dyDescent="0.3">
      <c r="A2413" s="48" t="s">
        <v>54</v>
      </c>
      <c r="C2413">
        <v>-1000</v>
      </c>
      <c r="D2413">
        <v>-11000</v>
      </c>
      <c r="E2413">
        <v>1000</v>
      </c>
      <c r="F2413">
        <v>33000</v>
      </c>
      <c r="G2413">
        <v>-11000</v>
      </c>
      <c r="H2413">
        <v>-11000</v>
      </c>
      <c r="I2413">
        <v>-11000</v>
      </c>
    </row>
    <row r="2414" spans="1:9" x14ac:dyDescent="0.3">
      <c r="A2414" s="48" t="s">
        <v>55</v>
      </c>
      <c r="C2414">
        <v>0</v>
      </c>
      <c r="D2414">
        <v>-12000</v>
      </c>
      <c r="E2414">
        <v>0</v>
      </c>
      <c r="F2414">
        <v>32000</v>
      </c>
      <c r="G2414">
        <v>-12000</v>
      </c>
      <c r="H2414">
        <v>-12000</v>
      </c>
      <c r="I2414">
        <v>-12000</v>
      </c>
    </row>
    <row r="2415" spans="1:9" x14ac:dyDescent="0.3">
      <c r="A2415" s="48" t="s">
        <v>56</v>
      </c>
      <c r="C2415">
        <v>1000</v>
      </c>
      <c r="D2415">
        <v>-13000</v>
      </c>
      <c r="E2415">
        <v>-1000</v>
      </c>
      <c r="F2415">
        <v>31000</v>
      </c>
      <c r="G2415">
        <v>-13000</v>
      </c>
      <c r="H2415">
        <v>-13000</v>
      </c>
      <c r="I2415">
        <v>-13000</v>
      </c>
    </row>
    <row r="2416" spans="1:9" x14ac:dyDescent="0.3">
      <c r="A2416" s="48" t="s">
        <v>57</v>
      </c>
      <c r="C2416">
        <v>2000</v>
      </c>
      <c r="D2416">
        <v>-14000</v>
      </c>
      <c r="E2416">
        <v>-2000</v>
      </c>
      <c r="F2416">
        <v>30000</v>
      </c>
      <c r="G2416">
        <v>-14000</v>
      </c>
      <c r="H2416">
        <v>-14000</v>
      </c>
      <c r="I2416">
        <v>-14000</v>
      </c>
    </row>
    <row r="2417" spans="1:9" x14ac:dyDescent="0.3">
      <c r="A2417" s="48" t="s">
        <v>58</v>
      </c>
      <c r="C2417">
        <v>3000</v>
      </c>
      <c r="D2417">
        <v>-15000</v>
      </c>
      <c r="E2417">
        <v>-3000</v>
      </c>
      <c r="F2417">
        <v>29000</v>
      </c>
      <c r="G2417">
        <v>-15000</v>
      </c>
      <c r="H2417">
        <v>-15000</v>
      </c>
      <c r="I2417">
        <v>-15000</v>
      </c>
    </row>
    <row r="2418" spans="1:9" x14ac:dyDescent="0.3">
      <c r="A2418" s="15" t="s">
        <v>45</v>
      </c>
    </row>
    <row r="2419" spans="1:9" x14ac:dyDescent="0.3">
      <c r="A2419" s="48" t="s">
        <v>35</v>
      </c>
      <c r="C2419">
        <v>-7000</v>
      </c>
      <c r="D2419">
        <v>-4000</v>
      </c>
      <c r="E2419">
        <v>5000</v>
      </c>
      <c r="F2419">
        <v>37000</v>
      </c>
      <c r="G2419">
        <v>-7000</v>
      </c>
      <c r="H2419">
        <v>-7000</v>
      </c>
      <c r="I2419">
        <v>-7000</v>
      </c>
    </row>
    <row r="2420" spans="1:9" x14ac:dyDescent="0.3">
      <c r="A2420" s="48" t="s">
        <v>41</v>
      </c>
      <c r="C2420">
        <v>-6000</v>
      </c>
      <c r="D2420">
        <v>-5000</v>
      </c>
      <c r="E2420">
        <v>4000</v>
      </c>
      <c r="F2420">
        <v>36000</v>
      </c>
      <c r="G2420">
        <v>-8000</v>
      </c>
      <c r="H2420">
        <v>-8000</v>
      </c>
      <c r="I2420">
        <v>-8000</v>
      </c>
    </row>
    <row r="2421" spans="1:9" x14ac:dyDescent="0.3">
      <c r="A2421" s="48" t="s">
        <v>42</v>
      </c>
      <c r="C2421">
        <v>-5000</v>
      </c>
      <c r="D2421">
        <v>-6000</v>
      </c>
      <c r="E2421">
        <v>3000</v>
      </c>
      <c r="F2421">
        <v>35000</v>
      </c>
      <c r="G2421">
        <v>-9000</v>
      </c>
      <c r="H2421">
        <v>-9000</v>
      </c>
      <c r="I2421">
        <v>-9000</v>
      </c>
    </row>
    <row r="2422" spans="1:9" x14ac:dyDescent="0.3">
      <c r="A2422" s="48" t="s">
        <v>43</v>
      </c>
      <c r="C2422">
        <v>-4000</v>
      </c>
      <c r="D2422">
        <v>-7000</v>
      </c>
      <c r="E2422">
        <v>2000</v>
      </c>
      <c r="F2422">
        <v>34000</v>
      </c>
      <c r="G2422">
        <v>-10000</v>
      </c>
      <c r="H2422">
        <v>-10000</v>
      </c>
      <c r="I2422">
        <v>-10000</v>
      </c>
    </row>
    <row r="2423" spans="1:9" x14ac:dyDescent="0.3">
      <c r="A2423" s="48" t="s">
        <v>44</v>
      </c>
      <c r="C2423">
        <v>-3000</v>
      </c>
      <c r="D2423">
        <v>-8000</v>
      </c>
      <c r="E2423">
        <v>1000</v>
      </c>
      <c r="F2423">
        <v>33000</v>
      </c>
      <c r="G2423">
        <v>-11000</v>
      </c>
      <c r="H2423">
        <v>-11000</v>
      </c>
      <c r="I2423">
        <v>-11000</v>
      </c>
    </row>
    <row r="2424" spans="1:9" x14ac:dyDescent="0.3">
      <c r="A2424" s="48" t="s">
        <v>54</v>
      </c>
      <c r="C2424">
        <v>-2000</v>
      </c>
      <c r="D2424">
        <v>-9000</v>
      </c>
      <c r="E2424">
        <v>0</v>
      </c>
      <c r="F2424">
        <v>32000</v>
      </c>
      <c r="G2424">
        <v>-12000</v>
      </c>
      <c r="H2424">
        <v>-12000</v>
      </c>
      <c r="I2424">
        <v>-12000</v>
      </c>
    </row>
    <row r="2425" spans="1:9" x14ac:dyDescent="0.3">
      <c r="A2425" s="48" t="s">
        <v>55</v>
      </c>
      <c r="C2425">
        <v>-1000</v>
      </c>
      <c r="D2425">
        <v>-10000</v>
      </c>
      <c r="E2425">
        <v>-1000</v>
      </c>
      <c r="F2425">
        <v>31000</v>
      </c>
      <c r="G2425">
        <v>-13000</v>
      </c>
      <c r="H2425">
        <v>-13000</v>
      </c>
      <c r="I2425">
        <v>-13000</v>
      </c>
    </row>
    <row r="2426" spans="1:9" x14ac:dyDescent="0.3">
      <c r="A2426" s="48" t="s">
        <v>56</v>
      </c>
      <c r="C2426">
        <v>0</v>
      </c>
      <c r="D2426">
        <v>-11000</v>
      </c>
      <c r="E2426">
        <v>-2000</v>
      </c>
      <c r="F2426">
        <v>30000</v>
      </c>
      <c r="G2426">
        <v>-14000</v>
      </c>
      <c r="H2426">
        <v>-14000</v>
      </c>
      <c r="I2426">
        <v>-14000</v>
      </c>
    </row>
    <row r="2427" spans="1:9" x14ac:dyDescent="0.3">
      <c r="A2427" s="48" t="s">
        <v>57</v>
      </c>
      <c r="C2427">
        <v>1000</v>
      </c>
      <c r="D2427">
        <v>-12000</v>
      </c>
      <c r="E2427">
        <v>-3000</v>
      </c>
      <c r="F2427">
        <v>29000</v>
      </c>
      <c r="G2427">
        <v>-15000</v>
      </c>
      <c r="H2427">
        <v>-15000</v>
      </c>
      <c r="I2427">
        <v>-15000</v>
      </c>
    </row>
    <row r="2428" spans="1:9" x14ac:dyDescent="0.3">
      <c r="A2428" s="48" t="s">
        <v>58</v>
      </c>
      <c r="C2428">
        <v>2000</v>
      </c>
      <c r="D2428">
        <v>-13000</v>
      </c>
      <c r="E2428">
        <v>-4000</v>
      </c>
      <c r="F2428">
        <v>28000</v>
      </c>
      <c r="G2428">
        <v>-16000</v>
      </c>
      <c r="H2428">
        <v>-16000</v>
      </c>
      <c r="I2428">
        <v>-16000</v>
      </c>
    </row>
    <row r="2429" spans="1:9" x14ac:dyDescent="0.3">
      <c r="A2429" s="15" t="s">
        <v>46</v>
      </c>
    </row>
    <row r="2430" spans="1:9" x14ac:dyDescent="0.3">
      <c r="A2430" s="48" t="s">
        <v>35</v>
      </c>
      <c r="C2430">
        <v>-8000</v>
      </c>
      <c r="D2430">
        <v>-2000</v>
      </c>
      <c r="E2430">
        <v>4000</v>
      </c>
      <c r="F2430">
        <v>36000</v>
      </c>
      <c r="G2430">
        <v>-8000</v>
      </c>
      <c r="H2430">
        <v>-8000</v>
      </c>
      <c r="I2430">
        <v>-8000</v>
      </c>
    </row>
    <row r="2431" spans="1:9" x14ac:dyDescent="0.3">
      <c r="A2431" s="48" t="s">
        <v>41</v>
      </c>
      <c r="C2431">
        <v>-7000</v>
      </c>
      <c r="D2431">
        <v>-3000</v>
      </c>
      <c r="E2431">
        <v>3000</v>
      </c>
      <c r="F2431">
        <v>35000</v>
      </c>
      <c r="G2431">
        <v>-9000</v>
      </c>
      <c r="H2431">
        <v>-9000</v>
      </c>
      <c r="I2431">
        <v>-9000</v>
      </c>
    </row>
    <row r="2432" spans="1:9" x14ac:dyDescent="0.3">
      <c r="A2432" s="48" t="s">
        <v>42</v>
      </c>
      <c r="C2432">
        <v>-6000</v>
      </c>
      <c r="D2432">
        <v>-4000</v>
      </c>
      <c r="E2432">
        <v>2000</v>
      </c>
      <c r="F2432">
        <v>34000</v>
      </c>
      <c r="G2432">
        <v>-10000</v>
      </c>
      <c r="H2432">
        <v>-10000</v>
      </c>
      <c r="I2432">
        <v>-10000</v>
      </c>
    </row>
    <row r="2433" spans="1:9" x14ac:dyDescent="0.3">
      <c r="A2433" s="48" t="s">
        <v>43</v>
      </c>
      <c r="C2433">
        <v>-5000</v>
      </c>
      <c r="D2433">
        <v>-5000</v>
      </c>
      <c r="E2433">
        <v>1000</v>
      </c>
      <c r="F2433">
        <v>33000</v>
      </c>
      <c r="G2433">
        <v>-11000</v>
      </c>
      <c r="H2433">
        <v>-11000</v>
      </c>
      <c r="I2433">
        <v>-11000</v>
      </c>
    </row>
    <row r="2434" spans="1:9" x14ac:dyDescent="0.3">
      <c r="A2434" s="48" t="s">
        <v>44</v>
      </c>
      <c r="C2434">
        <v>-4000</v>
      </c>
      <c r="D2434">
        <v>-6000</v>
      </c>
      <c r="E2434">
        <v>0</v>
      </c>
      <c r="F2434">
        <v>32000</v>
      </c>
      <c r="G2434">
        <v>-12000</v>
      </c>
      <c r="H2434">
        <v>-12000</v>
      </c>
      <c r="I2434">
        <v>-12000</v>
      </c>
    </row>
    <row r="2435" spans="1:9" x14ac:dyDescent="0.3">
      <c r="A2435" s="48" t="s">
        <v>54</v>
      </c>
      <c r="C2435">
        <v>-3000</v>
      </c>
      <c r="D2435">
        <v>-7000</v>
      </c>
      <c r="E2435">
        <v>-1000</v>
      </c>
      <c r="F2435">
        <v>31000</v>
      </c>
      <c r="G2435">
        <v>-13000</v>
      </c>
      <c r="H2435">
        <v>-13000</v>
      </c>
      <c r="I2435">
        <v>-13000</v>
      </c>
    </row>
    <row r="2436" spans="1:9" x14ac:dyDescent="0.3">
      <c r="A2436" s="48" t="s">
        <v>55</v>
      </c>
      <c r="C2436">
        <v>-2000</v>
      </c>
      <c r="D2436">
        <v>-8000</v>
      </c>
      <c r="E2436">
        <v>-2000</v>
      </c>
      <c r="F2436">
        <v>30000</v>
      </c>
      <c r="G2436">
        <v>-14000</v>
      </c>
      <c r="H2436">
        <v>-14000</v>
      </c>
      <c r="I2436">
        <v>-14000</v>
      </c>
    </row>
    <row r="2437" spans="1:9" x14ac:dyDescent="0.3">
      <c r="A2437" s="48" t="s">
        <v>56</v>
      </c>
      <c r="C2437">
        <v>-1000</v>
      </c>
      <c r="D2437">
        <v>-9000</v>
      </c>
      <c r="E2437">
        <v>-3000</v>
      </c>
      <c r="F2437">
        <v>29000</v>
      </c>
      <c r="G2437">
        <v>-15000</v>
      </c>
      <c r="H2437">
        <v>-15000</v>
      </c>
      <c r="I2437">
        <v>-15000</v>
      </c>
    </row>
    <row r="2438" spans="1:9" x14ac:dyDescent="0.3">
      <c r="A2438" s="48" t="s">
        <v>57</v>
      </c>
      <c r="C2438">
        <v>0</v>
      </c>
      <c r="D2438">
        <v>-10000</v>
      </c>
      <c r="E2438">
        <v>-4000</v>
      </c>
      <c r="F2438">
        <v>28000</v>
      </c>
      <c r="G2438">
        <v>-16000</v>
      </c>
      <c r="H2438">
        <v>-16000</v>
      </c>
      <c r="I2438">
        <v>-16000</v>
      </c>
    </row>
    <row r="2439" spans="1:9" x14ac:dyDescent="0.3">
      <c r="A2439" s="48" t="s">
        <v>58</v>
      </c>
      <c r="C2439">
        <v>1000</v>
      </c>
      <c r="D2439">
        <v>-11000</v>
      </c>
      <c r="E2439">
        <v>-5000</v>
      </c>
      <c r="F2439">
        <v>27000</v>
      </c>
      <c r="G2439">
        <v>-17000</v>
      </c>
      <c r="H2439">
        <v>-17000</v>
      </c>
      <c r="I2439">
        <v>-17000</v>
      </c>
    </row>
    <row r="2440" spans="1:9" x14ac:dyDescent="0.3">
      <c r="A2440" s="15" t="s">
        <v>47</v>
      </c>
    </row>
    <row r="2441" spans="1:9" x14ac:dyDescent="0.3">
      <c r="A2441" s="48" t="s">
        <v>35</v>
      </c>
      <c r="C2441">
        <v>-9000</v>
      </c>
      <c r="D2441">
        <v>0</v>
      </c>
      <c r="E2441">
        <v>3000</v>
      </c>
      <c r="F2441">
        <v>35000</v>
      </c>
      <c r="G2441">
        <v>-9000</v>
      </c>
      <c r="H2441">
        <v>-9000</v>
      </c>
      <c r="I2441">
        <v>-9000</v>
      </c>
    </row>
    <row r="2442" spans="1:9" x14ac:dyDescent="0.3">
      <c r="A2442" s="48" t="s">
        <v>41</v>
      </c>
      <c r="C2442">
        <v>-8000</v>
      </c>
      <c r="D2442">
        <v>-1000</v>
      </c>
      <c r="E2442">
        <v>2000</v>
      </c>
      <c r="F2442">
        <v>34000</v>
      </c>
      <c r="G2442">
        <v>-10000</v>
      </c>
      <c r="H2442">
        <v>-10000</v>
      </c>
      <c r="I2442">
        <v>-10000</v>
      </c>
    </row>
    <row r="2443" spans="1:9" x14ac:dyDescent="0.3">
      <c r="A2443" s="48" t="s">
        <v>42</v>
      </c>
      <c r="C2443">
        <v>-7000</v>
      </c>
      <c r="D2443">
        <v>-2000</v>
      </c>
      <c r="E2443">
        <v>1000</v>
      </c>
      <c r="F2443">
        <v>33000</v>
      </c>
      <c r="G2443">
        <v>-11000</v>
      </c>
      <c r="H2443">
        <v>-11000</v>
      </c>
      <c r="I2443">
        <v>-11000</v>
      </c>
    </row>
    <row r="2444" spans="1:9" x14ac:dyDescent="0.3">
      <c r="A2444" s="48" t="s">
        <v>43</v>
      </c>
      <c r="C2444">
        <v>-6000</v>
      </c>
      <c r="D2444">
        <v>-3000</v>
      </c>
      <c r="E2444">
        <v>0</v>
      </c>
      <c r="F2444">
        <v>32000</v>
      </c>
      <c r="G2444">
        <v>-12000</v>
      </c>
      <c r="H2444">
        <v>-12000</v>
      </c>
      <c r="I2444">
        <v>-12000</v>
      </c>
    </row>
    <row r="2445" spans="1:9" x14ac:dyDescent="0.3">
      <c r="A2445" s="48" t="s">
        <v>44</v>
      </c>
      <c r="C2445">
        <v>-5000</v>
      </c>
      <c r="D2445">
        <v>-4000</v>
      </c>
      <c r="E2445">
        <v>-1000</v>
      </c>
      <c r="F2445">
        <v>31000</v>
      </c>
      <c r="G2445">
        <v>-13000</v>
      </c>
      <c r="H2445">
        <v>-13000</v>
      </c>
      <c r="I2445">
        <v>-13000</v>
      </c>
    </row>
    <row r="2446" spans="1:9" x14ac:dyDescent="0.3">
      <c r="A2446" s="48" t="s">
        <v>54</v>
      </c>
      <c r="C2446">
        <v>-4000</v>
      </c>
      <c r="D2446">
        <v>-5000</v>
      </c>
      <c r="E2446">
        <v>-2000</v>
      </c>
      <c r="F2446">
        <v>30000</v>
      </c>
      <c r="G2446">
        <v>-14000</v>
      </c>
      <c r="H2446">
        <v>-14000</v>
      </c>
      <c r="I2446">
        <v>-14000</v>
      </c>
    </row>
    <row r="2447" spans="1:9" x14ac:dyDescent="0.3">
      <c r="A2447" s="48" t="s">
        <v>55</v>
      </c>
      <c r="C2447">
        <v>-3000</v>
      </c>
      <c r="D2447">
        <v>-6000</v>
      </c>
      <c r="E2447">
        <v>-3000</v>
      </c>
      <c r="F2447">
        <v>29000</v>
      </c>
      <c r="G2447">
        <v>-15000</v>
      </c>
      <c r="H2447">
        <v>-15000</v>
      </c>
      <c r="I2447">
        <v>-15000</v>
      </c>
    </row>
    <row r="2448" spans="1:9" x14ac:dyDescent="0.3">
      <c r="A2448" s="48" t="s">
        <v>56</v>
      </c>
      <c r="C2448">
        <v>-2000</v>
      </c>
      <c r="D2448">
        <v>-7000</v>
      </c>
      <c r="E2448">
        <v>-4000</v>
      </c>
      <c r="F2448">
        <v>28000</v>
      </c>
      <c r="G2448">
        <v>-16000</v>
      </c>
      <c r="H2448">
        <v>-16000</v>
      </c>
      <c r="I2448">
        <v>-16000</v>
      </c>
    </row>
    <row r="2449" spans="1:9" x14ac:dyDescent="0.3">
      <c r="A2449" s="48" t="s">
        <v>57</v>
      </c>
      <c r="C2449">
        <v>-1000</v>
      </c>
      <c r="D2449">
        <v>-8000</v>
      </c>
      <c r="E2449">
        <v>-5000</v>
      </c>
      <c r="F2449">
        <v>27000</v>
      </c>
      <c r="G2449">
        <v>-17000</v>
      </c>
      <c r="H2449">
        <v>-17000</v>
      </c>
      <c r="I2449">
        <v>-17000</v>
      </c>
    </row>
    <row r="2450" spans="1:9" x14ac:dyDescent="0.3">
      <c r="A2450" s="48" t="s">
        <v>58</v>
      </c>
      <c r="C2450">
        <v>0</v>
      </c>
      <c r="D2450">
        <v>-9000</v>
      </c>
      <c r="E2450">
        <v>-6000</v>
      </c>
      <c r="F2450">
        <v>26000</v>
      </c>
      <c r="G2450">
        <v>-18000</v>
      </c>
      <c r="H2450">
        <v>-18000</v>
      </c>
      <c r="I2450">
        <v>-18000</v>
      </c>
    </row>
    <row r="2451" spans="1:9" x14ac:dyDescent="0.3">
      <c r="A2451" s="15" t="s">
        <v>48</v>
      </c>
    </row>
    <row r="2452" spans="1:9" x14ac:dyDescent="0.3">
      <c r="A2452" s="48" t="s">
        <v>35</v>
      </c>
      <c r="C2452">
        <v>-10000</v>
      </c>
      <c r="D2452">
        <v>2000</v>
      </c>
      <c r="E2452">
        <v>2000</v>
      </c>
      <c r="F2452">
        <v>34000</v>
      </c>
      <c r="G2452">
        <v>-10000</v>
      </c>
      <c r="H2452">
        <v>-10000</v>
      </c>
      <c r="I2452">
        <v>-10000</v>
      </c>
    </row>
    <row r="2453" spans="1:9" x14ac:dyDescent="0.3">
      <c r="A2453" s="48" t="s">
        <v>41</v>
      </c>
      <c r="C2453">
        <v>-9000</v>
      </c>
      <c r="D2453">
        <v>1000</v>
      </c>
      <c r="E2453">
        <v>1000</v>
      </c>
      <c r="F2453">
        <v>33000</v>
      </c>
      <c r="G2453">
        <v>-11000</v>
      </c>
      <c r="H2453">
        <v>-11000</v>
      </c>
      <c r="I2453">
        <v>-11000</v>
      </c>
    </row>
    <row r="2454" spans="1:9" x14ac:dyDescent="0.3">
      <c r="A2454" s="48" t="s">
        <v>42</v>
      </c>
      <c r="C2454">
        <v>-8000</v>
      </c>
      <c r="D2454">
        <v>0</v>
      </c>
      <c r="E2454">
        <v>0</v>
      </c>
      <c r="F2454">
        <v>32000</v>
      </c>
      <c r="G2454">
        <v>-12000</v>
      </c>
      <c r="H2454">
        <v>-12000</v>
      </c>
      <c r="I2454">
        <v>-12000</v>
      </c>
    </row>
    <row r="2455" spans="1:9" x14ac:dyDescent="0.3">
      <c r="A2455" s="48" t="s">
        <v>43</v>
      </c>
      <c r="C2455">
        <v>-7000</v>
      </c>
      <c r="D2455">
        <v>-1000</v>
      </c>
      <c r="E2455">
        <v>-1000</v>
      </c>
      <c r="F2455">
        <v>31000</v>
      </c>
      <c r="G2455">
        <v>-13000</v>
      </c>
      <c r="H2455">
        <v>-13000</v>
      </c>
      <c r="I2455">
        <v>-13000</v>
      </c>
    </row>
    <row r="2456" spans="1:9" x14ac:dyDescent="0.3">
      <c r="A2456" s="48" t="s">
        <v>44</v>
      </c>
      <c r="C2456">
        <v>-6000</v>
      </c>
      <c r="D2456">
        <v>-2000</v>
      </c>
      <c r="E2456">
        <v>-2000</v>
      </c>
      <c r="F2456">
        <v>30000</v>
      </c>
      <c r="G2456">
        <v>-14000</v>
      </c>
      <c r="H2456">
        <v>-14000</v>
      </c>
      <c r="I2456">
        <v>-14000</v>
      </c>
    </row>
    <row r="2457" spans="1:9" x14ac:dyDescent="0.3">
      <c r="A2457" s="48" t="s">
        <v>54</v>
      </c>
      <c r="C2457">
        <v>-5000</v>
      </c>
      <c r="D2457">
        <v>-3000</v>
      </c>
      <c r="E2457">
        <v>-3000</v>
      </c>
      <c r="F2457">
        <v>29000</v>
      </c>
      <c r="G2457">
        <v>-15000</v>
      </c>
      <c r="H2457">
        <v>-15000</v>
      </c>
      <c r="I2457">
        <v>-15000</v>
      </c>
    </row>
    <row r="2458" spans="1:9" x14ac:dyDescent="0.3">
      <c r="A2458" s="48" t="s">
        <v>55</v>
      </c>
      <c r="C2458">
        <v>-4000</v>
      </c>
      <c r="D2458">
        <v>-4000</v>
      </c>
      <c r="E2458">
        <v>-4000</v>
      </c>
      <c r="F2458">
        <v>28000</v>
      </c>
      <c r="G2458">
        <v>-16000</v>
      </c>
      <c r="H2458">
        <v>-16000</v>
      </c>
      <c r="I2458">
        <v>-16000</v>
      </c>
    </row>
    <row r="2459" spans="1:9" x14ac:dyDescent="0.3">
      <c r="A2459" s="48" t="s">
        <v>56</v>
      </c>
      <c r="C2459">
        <v>-3000</v>
      </c>
      <c r="D2459">
        <v>-5000</v>
      </c>
      <c r="E2459">
        <v>-5000</v>
      </c>
      <c r="F2459">
        <v>27000</v>
      </c>
      <c r="G2459">
        <v>-17000</v>
      </c>
      <c r="H2459">
        <v>-17000</v>
      </c>
      <c r="I2459">
        <v>-17000</v>
      </c>
    </row>
    <row r="2460" spans="1:9" x14ac:dyDescent="0.3">
      <c r="A2460" s="48" t="s">
        <v>57</v>
      </c>
      <c r="C2460">
        <v>-2000</v>
      </c>
      <c r="D2460">
        <v>-6000</v>
      </c>
      <c r="E2460">
        <v>-6000</v>
      </c>
      <c r="F2460">
        <v>26000</v>
      </c>
      <c r="G2460">
        <v>-18000</v>
      </c>
      <c r="H2460">
        <v>-18000</v>
      </c>
      <c r="I2460">
        <v>-18000</v>
      </c>
    </row>
    <row r="2461" spans="1:9" x14ac:dyDescent="0.3">
      <c r="A2461" s="48" t="s">
        <v>58</v>
      </c>
      <c r="C2461">
        <v>-1000</v>
      </c>
      <c r="D2461">
        <v>-7000</v>
      </c>
      <c r="E2461">
        <v>-7000</v>
      </c>
      <c r="F2461">
        <v>25000</v>
      </c>
      <c r="G2461">
        <v>-19000</v>
      </c>
      <c r="H2461">
        <v>-19000</v>
      </c>
      <c r="I2461">
        <v>-19000</v>
      </c>
    </row>
    <row r="2462" spans="1:9" x14ac:dyDescent="0.3">
      <c r="A2462" s="15" t="s">
        <v>59</v>
      </c>
    </row>
    <row r="2463" spans="1:9" x14ac:dyDescent="0.3">
      <c r="A2463" s="48" t="s">
        <v>35</v>
      </c>
      <c r="C2463">
        <v>-11000</v>
      </c>
      <c r="D2463">
        <v>4000</v>
      </c>
      <c r="E2463">
        <v>1000</v>
      </c>
      <c r="F2463">
        <v>33000</v>
      </c>
      <c r="G2463">
        <v>-11000</v>
      </c>
      <c r="H2463">
        <v>-11000</v>
      </c>
      <c r="I2463">
        <v>-11000</v>
      </c>
    </row>
    <row r="2464" spans="1:9" x14ac:dyDescent="0.3">
      <c r="A2464" s="48" t="s">
        <v>41</v>
      </c>
      <c r="C2464">
        <v>-10000</v>
      </c>
      <c r="D2464">
        <v>3000</v>
      </c>
      <c r="E2464">
        <v>0</v>
      </c>
      <c r="F2464">
        <v>32000</v>
      </c>
      <c r="G2464">
        <v>-12000</v>
      </c>
      <c r="H2464">
        <v>-12000</v>
      </c>
      <c r="I2464">
        <v>-12000</v>
      </c>
    </row>
    <row r="2465" spans="1:9" x14ac:dyDescent="0.3">
      <c r="A2465" s="48" t="s">
        <v>42</v>
      </c>
      <c r="C2465">
        <v>-9000</v>
      </c>
      <c r="D2465">
        <v>2000</v>
      </c>
      <c r="E2465">
        <v>-1000</v>
      </c>
      <c r="F2465">
        <v>31000</v>
      </c>
      <c r="G2465">
        <v>-13000</v>
      </c>
      <c r="H2465">
        <v>-13000</v>
      </c>
      <c r="I2465">
        <v>-13000</v>
      </c>
    </row>
    <row r="2466" spans="1:9" x14ac:dyDescent="0.3">
      <c r="A2466" s="48" t="s">
        <v>43</v>
      </c>
      <c r="C2466">
        <v>-8000</v>
      </c>
      <c r="D2466">
        <v>1000</v>
      </c>
      <c r="E2466">
        <v>-2000</v>
      </c>
      <c r="F2466">
        <v>30000</v>
      </c>
      <c r="G2466">
        <v>-14000</v>
      </c>
      <c r="H2466">
        <v>-14000</v>
      </c>
      <c r="I2466">
        <v>-14000</v>
      </c>
    </row>
    <row r="2467" spans="1:9" x14ac:dyDescent="0.3">
      <c r="A2467" s="48" t="s">
        <v>44</v>
      </c>
      <c r="C2467">
        <v>-7000</v>
      </c>
      <c r="D2467">
        <v>0</v>
      </c>
      <c r="E2467">
        <v>-3000</v>
      </c>
      <c r="F2467">
        <v>29000</v>
      </c>
      <c r="G2467">
        <v>-15000</v>
      </c>
      <c r="H2467">
        <v>-15000</v>
      </c>
      <c r="I2467">
        <v>-15000</v>
      </c>
    </row>
    <row r="2468" spans="1:9" x14ac:dyDescent="0.3">
      <c r="A2468" s="48" t="s">
        <v>54</v>
      </c>
      <c r="C2468">
        <v>-6000</v>
      </c>
      <c r="D2468">
        <v>-1000</v>
      </c>
      <c r="E2468">
        <v>-4000</v>
      </c>
      <c r="F2468">
        <v>28000</v>
      </c>
      <c r="G2468">
        <v>-16000</v>
      </c>
      <c r="H2468">
        <v>-16000</v>
      </c>
      <c r="I2468">
        <v>-16000</v>
      </c>
    </row>
    <row r="2469" spans="1:9" x14ac:dyDescent="0.3">
      <c r="A2469" s="48" t="s">
        <v>55</v>
      </c>
      <c r="C2469">
        <v>-5000</v>
      </c>
      <c r="D2469">
        <v>-2000</v>
      </c>
      <c r="E2469">
        <v>-5000</v>
      </c>
      <c r="F2469">
        <v>27000</v>
      </c>
      <c r="G2469">
        <v>-17000</v>
      </c>
      <c r="H2469">
        <v>-17000</v>
      </c>
      <c r="I2469">
        <v>-17000</v>
      </c>
    </row>
    <row r="2470" spans="1:9" x14ac:dyDescent="0.3">
      <c r="A2470" s="48" t="s">
        <v>56</v>
      </c>
      <c r="C2470">
        <v>-4000</v>
      </c>
      <c r="D2470">
        <v>-3000</v>
      </c>
      <c r="E2470">
        <v>-6000</v>
      </c>
      <c r="F2470">
        <v>26000</v>
      </c>
      <c r="G2470">
        <v>-18000</v>
      </c>
      <c r="H2470">
        <v>-18000</v>
      </c>
      <c r="I2470">
        <v>-18000</v>
      </c>
    </row>
    <row r="2471" spans="1:9" x14ac:dyDescent="0.3">
      <c r="A2471" s="48" t="s">
        <v>57</v>
      </c>
      <c r="C2471">
        <v>-3000</v>
      </c>
      <c r="D2471">
        <v>-4000</v>
      </c>
      <c r="E2471">
        <v>-7000</v>
      </c>
      <c r="F2471">
        <v>25000</v>
      </c>
      <c r="G2471">
        <v>-19000</v>
      </c>
      <c r="H2471">
        <v>-19000</v>
      </c>
      <c r="I2471">
        <v>-19000</v>
      </c>
    </row>
    <row r="2472" spans="1:9" x14ac:dyDescent="0.3">
      <c r="A2472" s="48" t="s">
        <v>58</v>
      </c>
      <c r="C2472">
        <v>-2000</v>
      </c>
      <c r="D2472">
        <v>-5000</v>
      </c>
      <c r="E2472">
        <v>-8000</v>
      </c>
      <c r="F2472">
        <v>24000</v>
      </c>
      <c r="G2472">
        <v>-20000</v>
      </c>
      <c r="H2472">
        <v>-20000</v>
      </c>
      <c r="I2472">
        <v>-20000</v>
      </c>
    </row>
    <row r="2473" spans="1:9" x14ac:dyDescent="0.3">
      <c r="A2473" s="15" t="s">
        <v>60</v>
      </c>
    </row>
    <row r="2474" spans="1:9" x14ac:dyDescent="0.3">
      <c r="A2474" s="48" t="s">
        <v>35</v>
      </c>
      <c r="C2474">
        <v>-12000</v>
      </c>
      <c r="D2474">
        <v>6000</v>
      </c>
      <c r="E2474">
        <v>0</v>
      </c>
      <c r="F2474">
        <v>32000</v>
      </c>
      <c r="G2474">
        <v>-12000</v>
      </c>
      <c r="H2474">
        <v>-12000</v>
      </c>
      <c r="I2474">
        <v>-12000</v>
      </c>
    </row>
    <row r="2475" spans="1:9" x14ac:dyDescent="0.3">
      <c r="A2475" s="48" t="s">
        <v>41</v>
      </c>
      <c r="C2475">
        <v>-11000</v>
      </c>
      <c r="D2475">
        <v>5000</v>
      </c>
      <c r="E2475">
        <v>-1000</v>
      </c>
      <c r="F2475">
        <v>31000</v>
      </c>
      <c r="G2475">
        <v>-13000</v>
      </c>
      <c r="H2475">
        <v>-13000</v>
      </c>
      <c r="I2475">
        <v>-13000</v>
      </c>
    </row>
    <row r="2476" spans="1:9" x14ac:dyDescent="0.3">
      <c r="A2476" s="48" t="s">
        <v>42</v>
      </c>
      <c r="C2476">
        <v>-10000</v>
      </c>
      <c r="D2476">
        <v>4000</v>
      </c>
      <c r="E2476">
        <v>-2000</v>
      </c>
      <c r="F2476">
        <v>30000</v>
      </c>
      <c r="G2476">
        <v>-14000</v>
      </c>
      <c r="H2476">
        <v>-14000</v>
      </c>
      <c r="I2476">
        <v>-14000</v>
      </c>
    </row>
    <row r="2477" spans="1:9" x14ac:dyDescent="0.3">
      <c r="A2477" s="48" t="s">
        <v>43</v>
      </c>
      <c r="C2477">
        <v>-9000</v>
      </c>
      <c r="D2477">
        <v>3000</v>
      </c>
      <c r="E2477">
        <v>-3000</v>
      </c>
      <c r="F2477">
        <v>29000</v>
      </c>
      <c r="G2477">
        <v>-15000</v>
      </c>
      <c r="H2477">
        <v>-15000</v>
      </c>
      <c r="I2477">
        <v>-15000</v>
      </c>
    </row>
    <row r="2478" spans="1:9" x14ac:dyDescent="0.3">
      <c r="A2478" s="48" t="s">
        <v>44</v>
      </c>
      <c r="C2478">
        <v>-8000</v>
      </c>
      <c r="D2478">
        <v>2000</v>
      </c>
      <c r="E2478">
        <v>-4000</v>
      </c>
      <c r="F2478">
        <v>28000</v>
      </c>
      <c r="G2478">
        <v>-16000</v>
      </c>
      <c r="H2478">
        <v>-16000</v>
      </c>
      <c r="I2478">
        <v>-16000</v>
      </c>
    </row>
    <row r="2479" spans="1:9" x14ac:dyDescent="0.3">
      <c r="A2479" s="48" t="s">
        <v>54</v>
      </c>
      <c r="C2479">
        <v>-7000</v>
      </c>
      <c r="D2479">
        <v>1000</v>
      </c>
      <c r="E2479">
        <v>-5000</v>
      </c>
      <c r="F2479">
        <v>27000</v>
      </c>
      <c r="G2479">
        <v>-17000</v>
      </c>
      <c r="H2479">
        <v>-17000</v>
      </c>
      <c r="I2479">
        <v>-17000</v>
      </c>
    </row>
    <row r="2480" spans="1:9" x14ac:dyDescent="0.3">
      <c r="A2480" s="48" t="s">
        <v>55</v>
      </c>
      <c r="C2480">
        <v>-6000</v>
      </c>
      <c r="D2480">
        <v>0</v>
      </c>
      <c r="E2480">
        <v>-6000</v>
      </c>
      <c r="F2480">
        <v>26000</v>
      </c>
      <c r="G2480">
        <v>-18000</v>
      </c>
      <c r="H2480">
        <v>-18000</v>
      </c>
      <c r="I2480">
        <v>-18000</v>
      </c>
    </row>
    <row r="2481" spans="1:9" x14ac:dyDescent="0.3">
      <c r="A2481" s="48" t="s">
        <v>56</v>
      </c>
      <c r="C2481">
        <v>-5000</v>
      </c>
      <c r="D2481">
        <v>-1000</v>
      </c>
      <c r="E2481">
        <v>-7000</v>
      </c>
      <c r="F2481">
        <v>25000</v>
      </c>
      <c r="G2481">
        <v>-19000</v>
      </c>
      <c r="H2481">
        <v>-19000</v>
      </c>
      <c r="I2481">
        <v>-19000</v>
      </c>
    </row>
    <row r="2482" spans="1:9" x14ac:dyDescent="0.3">
      <c r="A2482" s="48" t="s">
        <v>57</v>
      </c>
      <c r="C2482">
        <v>-4000</v>
      </c>
      <c r="D2482">
        <v>-2000</v>
      </c>
      <c r="E2482">
        <v>-8000</v>
      </c>
      <c r="F2482">
        <v>24000</v>
      </c>
      <c r="G2482">
        <v>-20000</v>
      </c>
      <c r="H2482">
        <v>-20000</v>
      </c>
      <c r="I2482">
        <v>-20000</v>
      </c>
    </row>
    <row r="2483" spans="1:9" x14ac:dyDescent="0.3">
      <c r="A2483" s="48" t="s">
        <v>58</v>
      </c>
      <c r="C2483">
        <v>-3000</v>
      </c>
      <c r="D2483">
        <v>-3000</v>
      </c>
      <c r="E2483">
        <v>-9000</v>
      </c>
      <c r="F2483">
        <v>23000</v>
      </c>
      <c r="G2483">
        <v>-21000</v>
      </c>
      <c r="H2483">
        <v>-21000</v>
      </c>
      <c r="I2483">
        <v>-21000</v>
      </c>
    </row>
    <row r="2484" spans="1:9" x14ac:dyDescent="0.3">
      <c r="A2484" s="15" t="s">
        <v>61</v>
      </c>
    </row>
    <row r="2485" spans="1:9" x14ac:dyDescent="0.3">
      <c r="A2485" s="48" t="s">
        <v>35</v>
      </c>
      <c r="C2485">
        <v>-13000</v>
      </c>
      <c r="D2485">
        <v>8000</v>
      </c>
      <c r="E2485">
        <v>-1000</v>
      </c>
      <c r="F2485">
        <v>31000</v>
      </c>
      <c r="G2485">
        <v>-13000</v>
      </c>
      <c r="H2485">
        <v>-13000</v>
      </c>
      <c r="I2485">
        <v>-13000</v>
      </c>
    </row>
    <row r="2486" spans="1:9" x14ac:dyDescent="0.3">
      <c r="A2486" s="48" t="s">
        <v>41</v>
      </c>
      <c r="C2486">
        <v>-12000</v>
      </c>
      <c r="D2486">
        <v>7000</v>
      </c>
      <c r="E2486">
        <v>-2000</v>
      </c>
      <c r="F2486">
        <v>30000</v>
      </c>
      <c r="G2486">
        <v>-14000</v>
      </c>
      <c r="H2486">
        <v>-14000</v>
      </c>
      <c r="I2486">
        <v>-14000</v>
      </c>
    </row>
    <row r="2487" spans="1:9" x14ac:dyDescent="0.3">
      <c r="A2487" s="48" t="s">
        <v>42</v>
      </c>
      <c r="C2487">
        <v>-11000</v>
      </c>
      <c r="D2487">
        <v>6000</v>
      </c>
      <c r="E2487">
        <v>-3000</v>
      </c>
      <c r="F2487">
        <v>29000</v>
      </c>
      <c r="G2487">
        <v>-15000</v>
      </c>
      <c r="H2487">
        <v>-15000</v>
      </c>
      <c r="I2487">
        <v>-15000</v>
      </c>
    </row>
    <row r="2488" spans="1:9" x14ac:dyDescent="0.3">
      <c r="A2488" s="48" t="s">
        <v>43</v>
      </c>
      <c r="C2488">
        <v>-10000</v>
      </c>
      <c r="D2488">
        <v>5000</v>
      </c>
      <c r="E2488">
        <v>-4000</v>
      </c>
      <c r="F2488">
        <v>28000</v>
      </c>
      <c r="G2488">
        <v>-16000</v>
      </c>
      <c r="H2488">
        <v>-16000</v>
      </c>
      <c r="I2488">
        <v>-16000</v>
      </c>
    </row>
    <row r="2489" spans="1:9" x14ac:dyDescent="0.3">
      <c r="A2489" s="48" t="s">
        <v>44</v>
      </c>
      <c r="C2489">
        <v>-9000</v>
      </c>
      <c r="D2489">
        <v>4000</v>
      </c>
      <c r="E2489">
        <v>-5000</v>
      </c>
      <c r="F2489">
        <v>27000</v>
      </c>
      <c r="G2489">
        <v>-17000</v>
      </c>
      <c r="H2489">
        <v>-17000</v>
      </c>
      <c r="I2489">
        <v>-17000</v>
      </c>
    </row>
    <row r="2490" spans="1:9" x14ac:dyDescent="0.3">
      <c r="A2490" s="48" t="s">
        <v>54</v>
      </c>
      <c r="C2490">
        <v>-8000</v>
      </c>
      <c r="D2490">
        <v>3000</v>
      </c>
      <c r="E2490">
        <v>-6000</v>
      </c>
      <c r="F2490">
        <v>26000</v>
      </c>
      <c r="G2490">
        <v>-18000</v>
      </c>
      <c r="H2490">
        <v>-18000</v>
      </c>
      <c r="I2490">
        <v>-18000</v>
      </c>
    </row>
    <row r="2491" spans="1:9" x14ac:dyDescent="0.3">
      <c r="A2491" s="48" t="s">
        <v>55</v>
      </c>
      <c r="C2491">
        <v>-7000</v>
      </c>
      <c r="D2491">
        <v>2000</v>
      </c>
      <c r="E2491">
        <v>-7000</v>
      </c>
      <c r="F2491">
        <v>25000</v>
      </c>
      <c r="G2491">
        <v>-19000</v>
      </c>
      <c r="H2491">
        <v>-19000</v>
      </c>
      <c r="I2491">
        <v>-19000</v>
      </c>
    </row>
    <row r="2492" spans="1:9" x14ac:dyDescent="0.3">
      <c r="A2492" s="48" t="s">
        <v>56</v>
      </c>
      <c r="C2492">
        <v>-6000</v>
      </c>
      <c r="D2492">
        <v>1000</v>
      </c>
      <c r="E2492">
        <v>-8000</v>
      </c>
      <c r="F2492">
        <v>24000</v>
      </c>
      <c r="G2492">
        <v>-20000</v>
      </c>
      <c r="H2492">
        <v>-20000</v>
      </c>
      <c r="I2492">
        <v>-20000</v>
      </c>
    </row>
    <row r="2493" spans="1:9" x14ac:dyDescent="0.3">
      <c r="A2493" s="48" t="s">
        <v>57</v>
      </c>
      <c r="C2493">
        <v>-5000</v>
      </c>
      <c r="D2493">
        <v>0</v>
      </c>
      <c r="E2493">
        <v>-9000</v>
      </c>
      <c r="F2493">
        <v>23000</v>
      </c>
      <c r="G2493">
        <v>-21000</v>
      </c>
      <c r="H2493">
        <v>-21000</v>
      </c>
      <c r="I2493">
        <v>-21000</v>
      </c>
    </row>
    <row r="2494" spans="1:9" x14ac:dyDescent="0.3">
      <c r="A2494" s="48" t="s">
        <v>58</v>
      </c>
      <c r="C2494">
        <v>-4000</v>
      </c>
      <c r="D2494">
        <v>-1000</v>
      </c>
      <c r="E2494">
        <v>-10000</v>
      </c>
      <c r="F2494">
        <v>22000</v>
      </c>
      <c r="G2494">
        <v>-22000</v>
      </c>
      <c r="H2494">
        <v>-22000</v>
      </c>
      <c r="I2494">
        <v>-22000</v>
      </c>
    </row>
    <row r="2495" spans="1:9" x14ac:dyDescent="0.3">
      <c r="A2495" s="15" t="s">
        <v>62</v>
      </c>
    </row>
    <row r="2496" spans="1:9" x14ac:dyDescent="0.3">
      <c r="A2496" s="48" t="s">
        <v>35</v>
      </c>
      <c r="C2496">
        <v>-14000</v>
      </c>
      <c r="D2496">
        <v>10000</v>
      </c>
      <c r="E2496">
        <v>-2000</v>
      </c>
      <c r="F2496">
        <v>30000</v>
      </c>
      <c r="G2496">
        <v>-14000</v>
      </c>
      <c r="H2496">
        <v>-14000</v>
      </c>
      <c r="I2496">
        <v>-14000</v>
      </c>
    </row>
    <row r="2497" spans="1:9" x14ac:dyDescent="0.3">
      <c r="A2497" s="48" t="s">
        <v>41</v>
      </c>
      <c r="C2497">
        <v>-13000</v>
      </c>
      <c r="D2497">
        <v>9000</v>
      </c>
      <c r="E2497">
        <v>-3000</v>
      </c>
      <c r="F2497">
        <v>29000</v>
      </c>
      <c r="G2497">
        <v>-15000</v>
      </c>
      <c r="H2497">
        <v>-15000</v>
      </c>
      <c r="I2497">
        <v>-15000</v>
      </c>
    </row>
    <row r="2498" spans="1:9" x14ac:dyDescent="0.3">
      <c r="A2498" s="48" t="s">
        <v>42</v>
      </c>
      <c r="C2498">
        <v>-12000</v>
      </c>
      <c r="D2498">
        <v>8000</v>
      </c>
      <c r="E2498">
        <v>-4000</v>
      </c>
      <c r="F2498">
        <v>28000</v>
      </c>
      <c r="G2498">
        <v>-16000</v>
      </c>
      <c r="H2498">
        <v>-16000</v>
      </c>
      <c r="I2498">
        <v>-16000</v>
      </c>
    </row>
    <row r="2499" spans="1:9" x14ac:dyDescent="0.3">
      <c r="A2499" s="48" t="s">
        <v>43</v>
      </c>
      <c r="C2499">
        <v>-11000</v>
      </c>
      <c r="D2499">
        <v>7000</v>
      </c>
      <c r="E2499">
        <v>-5000</v>
      </c>
      <c r="F2499">
        <v>27000</v>
      </c>
      <c r="G2499">
        <v>-17000</v>
      </c>
      <c r="H2499">
        <v>-17000</v>
      </c>
      <c r="I2499">
        <v>-17000</v>
      </c>
    </row>
    <row r="2500" spans="1:9" x14ac:dyDescent="0.3">
      <c r="A2500" s="48" t="s">
        <v>44</v>
      </c>
      <c r="C2500">
        <v>-10000</v>
      </c>
      <c r="D2500">
        <v>6000</v>
      </c>
      <c r="E2500">
        <v>-6000</v>
      </c>
      <c r="F2500">
        <v>26000</v>
      </c>
      <c r="G2500">
        <v>-18000</v>
      </c>
      <c r="H2500">
        <v>-18000</v>
      </c>
      <c r="I2500">
        <v>-18000</v>
      </c>
    </row>
    <row r="2501" spans="1:9" x14ac:dyDescent="0.3">
      <c r="A2501" s="48" t="s">
        <v>54</v>
      </c>
      <c r="C2501">
        <v>-9000</v>
      </c>
      <c r="D2501">
        <v>5000</v>
      </c>
      <c r="E2501">
        <v>-7000</v>
      </c>
      <c r="F2501">
        <v>25000</v>
      </c>
      <c r="G2501">
        <v>-19000</v>
      </c>
      <c r="H2501">
        <v>-19000</v>
      </c>
      <c r="I2501">
        <v>-19000</v>
      </c>
    </row>
    <row r="2502" spans="1:9" x14ac:dyDescent="0.3">
      <c r="A2502" s="48" t="s">
        <v>55</v>
      </c>
      <c r="C2502">
        <v>-8000</v>
      </c>
      <c r="D2502">
        <v>4000</v>
      </c>
      <c r="E2502">
        <v>-8000</v>
      </c>
      <c r="F2502">
        <v>24000</v>
      </c>
      <c r="G2502">
        <v>-20000</v>
      </c>
      <c r="H2502">
        <v>-20000</v>
      </c>
      <c r="I2502">
        <v>-20000</v>
      </c>
    </row>
    <row r="2503" spans="1:9" x14ac:dyDescent="0.3">
      <c r="A2503" s="48" t="s">
        <v>56</v>
      </c>
      <c r="C2503">
        <v>-7000</v>
      </c>
      <c r="D2503">
        <v>3000</v>
      </c>
      <c r="E2503">
        <v>-9000</v>
      </c>
      <c r="F2503">
        <v>23000</v>
      </c>
      <c r="G2503">
        <v>-21000</v>
      </c>
      <c r="H2503">
        <v>-21000</v>
      </c>
      <c r="I2503">
        <v>-21000</v>
      </c>
    </row>
    <row r="2504" spans="1:9" x14ac:dyDescent="0.3">
      <c r="A2504" s="48" t="s">
        <v>57</v>
      </c>
      <c r="C2504">
        <v>-6000</v>
      </c>
      <c r="D2504">
        <v>2000</v>
      </c>
      <c r="E2504">
        <v>-10000</v>
      </c>
      <c r="F2504">
        <v>22000</v>
      </c>
      <c r="G2504">
        <v>-22000</v>
      </c>
      <c r="H2504">
        <v>-22000</v>
      </c>
      <c r="I2504">
        <v>-22000</v>
      </c>
    </row>
    <row r="2505" spans="1:9" x14ac:dyDescent="0.3">
      <c r="A2505" s="48" t="s">
        <v>58</v>
      </c>
      <c r="C2505">
        <v>-5000</v>
      </c>
      <c r="D2505">
        <v>1000</v>
      </c>
      <c r="E2505">
        <v>-11000</v>
      </c>
      <c r="F2505">
        <v>21000</v>
      </c>
      <c r="G2505">
        <v>-23000</v>
      </c>
      <c r="H2505">
        <v>-23000</v>
      </c>
      <c r="I2505">
        <v>-23000</v>
      </c>
    </row>
    <row r="2506" spans="1:9" x14ac:dyDescent="0.3">
      <c r="A2506" s="15" t="s">
        <v>63</v>
      </c>
    </row>
    <row r="2507" spans="1:9" x14ac:dyDescent="0.3">
      <c r="A2507" s="48" t="s">
        <v>35</v>
      </c>
      <c r="C2507">
        <v>-15000</v>
      </c>
      <c r="D2507">
        <v>12000</v>
      </c>
      <c r="E2507">
        <v>-3000</v>
      </c>
      <c r="F2507">
        <v>29000</v>
      </c>
      <c r="G2507">
        <v>-15000</v>
      </c>
      <c r="H2507">
        <v>-15000</v>
      </c>
      <c r="I2507">
        <v>-15000</v>
      </c>
    </row>
    <row r="2508" spans="1:9" x14ac:dyDescent="0.3">
      <c r="A2508" s="48" t="s">
        <v>41</v>
      </c>
      <c r="C2508">
        <v>-14000</v>
      </c>
      <c r="D2508">
        <v>11000</v>
      </c>
      <c r="E2508">
        <v>-4000</v>
      </c>
      <c r="F2508">
        <v>28000</v>
      </c>
      <c r="G2508">
        <v>-16000</v>
      </c>
      <c r="H2508">
        <v>-16000</v>
      </c>
      <c r="I2508">
        <v>-16000</v>
      </c>
    </row>
    <row r="2509" spans="1:9" x14ac:dyDescent="0.3">
      <c r="A2509" s="48" t="s">
        <v>42</v>
      </c>
      <c r="C2509">
        <v>-13000</v>
      </c>
      <c r="D2509">
        <v>10000</v>
      </c>
      <c r="E2509">
        <v>-5000</v>
      </c>
      <c r="F2509">
        <v>27000</v>
      </c>
      <c r="G2509">
        <v>-17000</v>
      </c>
      <c r="H2509">
        <v>-17000</v>
      </c>
      <c r="I2509">
        <v>-17000</v>
      </c>
    </row>
    <row r="2510" spans="1:9" x14ac:dyDescent="0.3">
      <c r="A2510" s="48" t="s">
        <v>43</v>
      </c>
      <c r="C2510">
        <v>-12000</v>
      </c>
      <c r="D2510">
        <v>9000</v>
      </c>
      <c r="E2510">
        <v>-6000</v>
      </c>
      <c r="F2510">
        <v>26000</v>
      </c>
      <c r="G2510">
        <v>-18000</v>
      </c>
      <c r="H2510">
        <v>-18000</v>
      </c>
      <c r="I2510">
        <v>-18000</v>
      </c>
    </row>
    <row r="2511" spans="1:9" x14ac:dyDescent="0.3">
      <c r="A2511" s="48" t="s">
        <v>44</v>
      </c>
      <c r="C2511">
        <v>-11000</v>
      </c>
      <c r="D2511">
        <v>8000</v>
      </c>
      <c r="E2511">
        <v>-7000</v>
      </c>
      <c r="F2511">
        <v>25000</v>
      </c>
      <c r="G2511">
        <v>-19000</v>
      </c>
      <c r="H2511">
        <v>-19000</v>
      </c>
      <c r="I2511">
        <v>-19000</v>
      </c>
    </row>
    <row r="2512" spans="1:9" x14ac:dyDescent="0.3">
      <c r="A2512" s="48" t="s">
        <v>54</v>
      </c>
      <c r="C2512">
        <v>-10000</v>
      </c>
      <c r="D2512">
        <v>7000</v>
      </c>
      <c r="E2512">
        <v>-8000</v>
      </c>
      <c r="F2512">
        <v>24000</v>
      </c>
      <c r="G2512">
        <v>-20000</v>
      </c>
      <c r="H2512">
        <v>-20000</v>
      </c>
      <c r="I2512">
        <v>-20000</v>
      </c>
    </row>
    <row r="2513" spans="1:9" x14ac:dyDescent="0.3">
      <c r="A2513" s="48" t="s">
        <v>55</v>
      </c>
      <c r="C2513">
        <v>-9000</v>
      </c>
      <c r="D2513">
        <v>6000</v>
      </c>
      <c r="E2513">
        <v>-9000</v>
      </c>
      <c r="F2513">
        <v>23000</v>
      </c>
      <c r="G2513">
        <v>-21000</v>
      </c>
      <c r="H2513">
        <v>-21000</v>
      </c>
      <c r="I2513">
        <v>-21000</v>
      </c>
    </row>
    <row r="2514" spans="1:9" x14ac:dyDescent="0.3">
      <c r="A2514" s="48" t="s">
        <v>56</v>
      </c>
      <c r="C2514">
        <v>-8000</v>
      </c>
      <c r="D2514">
        <v>5000</v>
      </c>
      <c r="E2514">
        <v>-10000</v>
      </c>
      <c r="F2514">
        <v>22000</v>
      </c>
      <c r="G2514">
        <v>-22000</v>
      </c>
      <c r="H2514">
        <v>-22000</v>
      </c>
      <c r="I2514">
        <v>-22000</v>
      </c>
    </row>
    <row r="2515" spans="1:9" x14ac:dyDescent="0.3">
      <c r="A2515" s="48" t="s">
        <v>57</v>
      </c>
      <c r="C2515">
        <v>-7000</v>
      </c>
      <c r="D2515">
        <v>4000</v>
      </c>
      <c r="E2515">
        <v>-11000</v>
      </c>
      <c r="F2515">
        <v>21000</v>
      </c>
      <c r="G2515">
        <v>-23000</v>
      </c>
      <c r="H2515">
        <v>-23000</v>
      </c>
      <c r="I2515">
        <v>-23000</v>
      </c>
    </row>
    <row r="2516" spans="1:9" x14ac:dyDescent="0.3">
      <c r="A2516" s="48" t="s">
        <v>58</v>
      </c>
      <c r="C2516">
        <v>-6000</v>
      </c>
      <c r="D2516">
        <v>3000</v>
      </c>
      <c r="E2516">
        <v>-12000</v>
      </c>
      <c r="F2516">
        <v>20000</v>
      </c>
      <c r="G2516">
        <v>-24000</v>
      </c>
      <c r="H2516">
        <v>-24000</v>
      </c>
      <c r="I2516">
        <v>-24000</v>
      </c>
    </row>
    <row r="2517" spans="1:9" x14ac:dyDescent="0.3">
      <c r="A2517" s="14" t="s">
        <v>51</v>
      </c>
    </row>
    <row r="2518" spans="1:9" x14ac:dyDescent="0.3">
      <c r="A2518" s="15" t="s">
        <v>34</v>
      </c>
    </row>
    <row r="2519" spans="1:9" x14ac:dyDescent="0.3">
      <c r="A2519" s="48" t="s">
        <v>35</v>
      </c>
      <c r="C2519">
        <v>-7000</v>
      </c>
      <c r="D2519">
        <v>-7000</v>
      </c>
      <c r="E2519">
        <v>11000</v>
      </c>
      <c r="F2519">
        <v>37000</v>
      </c>
      <c r="G2519">
        <v>-7000</v>
      </c>
      <c r="H2519">
        <v>-7000</v>
      </c>
      <c r="I2519">
        <v>-7000</v>
      </c>
    </row>
    <row r="2520" spans="1:9" x14ac:dyDescent="0.3">
      <c r="A2520" s="48" t="s">
        <v>41</v>
      </c>
      <c r="C2520">
        <v>-6000</v>
      </c>
      <c r="D2520">
        <v>-8000</v>
      </c>
      <c r="E2520">
        <v>10000</v>
      </c>
      <c r="F2520">
        <v>36000</v>
      </c>
      <c r="G2520">
        <v>-8000</v>
      </c>
      <c r="H2520">
        <v>-8000</v>
      </c>
      <c r="I2520">
        <v>-8000</v>
      </c>
    </row>
    <row r="2521" spans="1:9" x14ac:dyDescent="0.3">
      <c r="A2521" s="48" t="s">
        <v>42</v>
      </c>
      <c r="C2521">
        <v>-5000</v>
      </c>
      <c r="D2521">
        <v>-9000</v>
      </c>
      <c r="E2521">
        <v>9000</v>
      </c>
      <c r="F2521">
        <v>35000</v>
      </c>
      <c r="G2521">
        <v>-9000</v>
      </c>
      <c r="H2521">
        <v>-9000</v>
      </c>
      <c r="I2521">
        <v>-9000</v>
      </c>
    </row>
    <row r="2522" spans="1:9" x14ac:dyDescent="0.3">
      <c r="A2522" s="48" t="s">
        <v>43</v>
      </c>
      <c r="C2522">
        <v>-4000</v>
      </c>
      <c r="D2522">
        <v>-10000</v>
      </c>
      <c r="E2522">
        <v>8000</v>
      </c>
      <c r="F2522">
        <v>34000</v>
      </c>
      <c r="G2522">
        <v>-10000</v>
      </c>
      <c r="H2522">
        <v>-10000</v>
      </c>
      <c r="I2522">
        <v>-10000</v>
      </c>
    </row>
    <row r="2523" spans="1:9" x14ac:dyDescent="0.3">
      <c r="A2523" s="48" t="s">
        <v>44</v>
      </c>
      <c r="C2523">
        <v>-3000</v>
      </c>
      <c r="D2523">
        <v>-11000</v>
      </c>
      <c r="E2523">
        <v>7000</v>
      </c>
      <c r="F2523">
        <v>33000</v>
      </c>
      <c r="G2523">
        <v>-11000</v>
      </c>
      <c r="H2523">
        <v>-11000</v>
      </c>
      <c r="I2523">
        <v>-11000</v>
      </c>
    </row>
    <row r="2524" spans="1:9" x14ac:dyDescent="0.3">
      <c r="A2524" s="48" t="s">
        <v>54</v>
      </c>
      <c r="C2524">
        <v>-2000</v>
      </c>
      <c r="D2524">
        <v>-12000</v>
      </c>
      <c r="E2524">
        <v>6000</v>
      </c>
      <c r="F2524">
        <v>32000</v>
      </c>
      <c r="G2524">
        <v>-12000</v>
      </c>
      <c r="H2524">
        <v>-12000</v>
      </c>
      <c r="I2524">
        <v>-12000</v>
      </c>
    </row>
    <row r="2525" spans="1:9" x14ac:dyDescent="0.3">
      <c r="A2525" s="48" t="s">
        <v>55</v>
      </c>
      <c r="C2525">
        <v>-1000</v>
      </c>
      <c r="D2525">
        <v>-13000</v>
      </c>
      <c r="E2525">
        <v>5000</v>
      </c>
      <c r="F2525">
        <v>31000</v>
      </c>
      <c r="G2525">
        <v>-13000</v>
      </c>
      <c r="H2525">
        <v>-13000</v>
      </c>
      <c r="I2525">
        <v>-13000</v>
      </c>
    </row>
    <row r="2526" spans="1:9" x14ac:dyDescent="0.3">
      <c r="A2526" s="48" t="s">
        <v>56</v>
      </c>
      <c r="C2526">
        <v>0</v>
      </c>
      <c r="D2526">
        <v>-14000</v>
      </c>
      <c r="E2526">
        <v>4000</v>
      </c>
      <c r="F2526">
        <v>30000</v>
      </c>
      <c r="G2526">
        <v>-14000</v>
      </c>
      <c r="H2526">
        <v>-14000</v>
      </c>
      <c r="I2526">
        <v>-14000</v>
      </c>
    </row>
    <row r="2527" spans="1:9" x14ac:dyDescent="0.3">
      <c r="A2527" s="48" t="s">
        <v>57</v>
      </c>
      <c r="C2527">
        <v>1000</v>
      </c>
      <c r="D2527">
        <v>-15000</v>
      </c>
      <c r="E2527">
        <v>3000</v>
      </c>
      <c r="F2527">
        <v>29000</v>
      </c>
      <c r="G2527">
        <v>-15000</v>
      </c>
      <c r="H2527">
        <v>-15000</v>
      </c>
      <c r="I2527">
        <v>-15000</v>
      </c>
    </row>
    <row r="2528" spans="1:9" x14ac:dyDescent="0.3">
      <c r="A2528" s="48" t="s">
        <v>58</v>
      </c>
      <c r="C2528">
        <v>2000</v>
      </c>
      <c r="D2528">
        <v>-16000</v>
      </c>
      <c r="E2528">
        <v>2000</v>
      </c>
      <c r="F2528">
        <v>28000</v>
      </c>
      <c r="G2528">
        <v>-16000</v>
      </c>
      <c r="H2528">
        <v>-16000</v>
      </c>
      <c r="I2528">
        <v>-16000</v>
      </c>
    </row>
    <row r="2529" spans="1:9" x14ac:dyDescent="0.3">
      <c r="A2529" s="15" t="s">
        <v>45</v>
      </c>
    </row>
    <row r="2530" spans="1:9" x14ac:dyDescent="0.3">
      <c r="A2530" s="48" t="s">
        <v>35</v>
      </c>
      <c r="C2530">
        <v>-8000</v>
      </c>
      <c r="D2530">
        <v>-5000</v>
      </c>
      <c r="E2530">
        <v>10000</v>
      </c>
      <c r="F2530">
        <v>36000</v>
      </c>
      <c r="G2530">
        <v>-8000</v>
      </c>
      <c r="H2530">
        <v>-8000</v>
      </c>
      <c r="I2530">
        <v>-8000</v>
      </c>
    </row>
    <row r="2531" spans="1:9" x14ac:dyDescent="0.3">
      <c r="A2531" s="48" t="s">
        <v>41</v>
      </c>
      <c r="C2531">
        <v>-7000</v>
      </c>
      <c r="D2531">
        <v>-6000</v>
      </c>
      <c r="E2531">
        <v>9000</v>
      </c>
      <c r="F2531">
        <v>35000</v>
      </c>
      <c r="G2531">
        <v>-9000</v>
      </c>
      <c r="H2531">
        <v>-9000</v>
      </c>
      <c r="I2531">
        <v>-9000</v>
      </c>
    </row>
    <row r="2532" spans="1:9" x14ac:dyDescent="0.3">
      <c r="A2532" s="48" t="s">
        <v>42</v>
      </c>
      <c r="C2532">
        <v>-6000</v>
      </c>
      <c r="D2532">
        <v>-7000</v>
      </c>
      <c r="E2532">
        <v>8000</v>
      </c>
      <c r="F2532">
        <v>34000</v>
      </c>
      <c r="G2532">
        <v>-10000</v>
      </c>
      <c r="H2532">
        <v>-10000</v>
      </c>
      <c r="I2532">
        <v>-10000</v>
      </c>
    </row>
    <row r="2533" spans="1:9" x14ac:dyDescent="0.3">
      <c r="A2533" s="48" t="s">
        <v>43</v>
      </c>
      <c r="C2533">
        <v>-5000</v>
      </c>
      <c r="D2533">
        <v>-8000</v>
      </c>
      <c r="E2533">
        <v>7000</v>
      </c>
      <c r="F2533">
        <v>33000</v>
      </c>
      <c r="G2533">
        <v>-11000</v>
      </c>
      <c r="H2533">
        <v>-11000</v>
      </c>
      <c r="I2533">
        <v>-11000</v>
      </c>
    </row>
    <row r="2534" spans="1:9" x14ac:dyDescent="0.3">
      <c r="A2534" s="48" t="s">
        <v>44</v>
      </c>
      <c r="C2534">
        <v>-4000</v>
      </c>
      <c r="D2534">
        <v>-9000</v>
      </c>
      <c r="E2534">
        <v>6000</v>
      </c>
      <c r="F2534">
        <v>32000</v>
      </c>
      <c r="G2534">
        <v>-12000</v>
      </c>
      <c r="H2534">
        <v>-12000</v>
      </c>
      <c r="I2534">
        <v>-12000</v>
      </c>
    </row>
    <row r="2535" spans="1:9" x14ac:dyDescent="0.3">
      <c r="A2535" s="48" t="s">
        <v>54</v>
      </c>
      <c r="C2535">
        <v>-3000</v>
      </c>
      <c r="D2535">
        <v>-10000</v>
      </c>
      <c r="E2535">
        <v>5000</v>
      </c>
      <c r="F2535">
        <v>31000</v>
      </c>
      <c r="G2535">
        <v>-13000</v>
      </c>
      <c r="H2535">
        <v>-13000</v>
      </c>
      <c r="I2535">
        <v>-13000</v>
      </c>
    </row>
    <row r="2536" spans="1:9" x14ac:dyDescent="0.3">
      <c r="A2536" s="48" t="s">
        <v>55</v>
      </c>
      <c r="C2536">
        <v>-2000</v>
      </c>
      <c r="D2536">
        <v>-11000</v>
      </c>
      <c r="E2536">
        <v>4000</v>
      </c>
      <c r="F2536">
        <v>30000</v>
      </c>
      <c r="G2536">
        <v>-14000</v>
      </c>
      <c r="H2536">
        <v>-14000</v>
      </c>
      <c r="I2536">
        <v>-14000</v>
      </c>
    </row>
    <row r="2537" spans="1:9" x14ac:dyDescent="0.3">
      <c r="A2537" s="48" t="s">
        <v>56</v>
      </c>
      <c r="C2537">
        <v>-1000</v>
      </c>
      <c r="D2537">
        <v>-12000</v>
      </c>
      <c r="E2537">
        <v>3000</v>
      </c>
      <c r="F2537">
        <v>29000</v>
      </c>
      <c r="G2537">
        <v>-15000</v>
      </c>
      <c r="H2537">
        <v>-15000</v>
      </c>
      <c r="I2537">
        <v>-15000</v>
      </c>
    </row>
    <row r="2538" spans="1:9" x14ac:dyDescent="0.3">
      <c r="A2538" s="48" t="s">
        <v>57</v>
      </c>
      <c r="C2538">
        <v>0</v>
      </c>
      <c r="D2538">
        <v>-13000</v>
      </c>
      <c r="E2538">
        <v>2000</v>
      </c>
      <c r="F2538">
        <v>28000</v>
      </c>
      <c r="G2538">
        <v>-16000</v>
      </c>
      <c r="H2538">
        <v>-16000</v>
      </c>
      <c r="I2538">
        <v>-16000</v>
      </c>
    </row>
    <row r="2539" spans="1:9" x14ac:dyDescent="0.3">
      <c r="A2539" s="48" t="s">
        <v>58</v>
      </c>
      <c r="C2539">
        <v>1000</v>
      </c>
      <c r="D2539">
        <v>-14000</v>
      </c>
      <c r="E2539">
        <v>1000</v>
      </c>
      <c r="F2539">
        <v>27000</v>
      </c>
      <c r="G2539">
        <v>-17000</v>
      </c>
      <c r="H2539">
        <v>-17000</v>
      </c>
      <c r="I2539">
        <v>-17000</v>
      </c>
    </row>
    <row r="2540" spans="1:9" x14ac:dyDescent="0.3">
      <c r="A2540" s="15" t="s">
        <v>46</v>
      </c>
    </row>
    <row r="2541" spans="1:9" x14ac:dyDescent="0.3">
      <c r="A2541" s="48" t="s">
        <v>35</v>
      </c>
      <c r="C2541">
        <v>-9000</v>
      </c>
      <c r="D2541">
        <v>-3000</v>
      </c>
      <c r="E2541">
        <v>9000</v>
      </c>
      <c r="F2541">
        <v>35000</v>
      </c>
      <c r="G2541">
        <v>-9000</v>
      </c>
      <c r="H2541">
        <v>-9000</v>
      </c>
      <c r="I2541">
        <v>-9000</v>
      </c>
    </row>
    <row r="2542" spans="1:9" x14ac:dyDescent="0.3">
      <c r="A2542" s="48" t="s">
        <v>41</v>
      </c>
      <c r="C2542">
        <v>-8000</v>
      </c>
      <c r="D2542">
        <v>-4000</v>
      </c>
      <c r="E2542">
        <v>8000</v>
      </c>
      <c r="F2542">
        <v>34000</v>
      </c>
      <c r="G2542">
        <v>-10000</v>
      </c>
      <c r="H2542">
        <v>-10000</v>
      </c>
      <c r="I2542">
        <v>-10000</v>
      </c>
    </row>
    <row r="2543" spans="1:9" x14ac:dyDescent="0.3">
      <c r="A2543" s="48" t="s">
        <v>42</v>
      </c>
      <c r="C2543">
        <v>-7000</v>
      </c>
      <c r="D2543">
        <v>-5000</v>
      </c>
      <c r="E2543">
        <v>7000</v>
      </c>
      <c r="F2543">
        <v>33000</v>
      </c>
      <c r="G2543">
        <v>-11000</v>
      </c>
      <c r="H2543">
        <v>-11000</v>
      </c>
      <c r="I2543">
        <v>-11000</v>
      </c>
    </row>
    <row r="2544" spans="1:9" x14ac:dyDescent="0.3">
      <c r="A2544" s="48" t="s">
        <v>43</v>
      </c>
      <c r="C2544">
        <v>-6000</v>
      </c>
      <c r="D2544">
        <v>-6000</v>
      </c>
      <c r="E2544">
        <v>6000</v>
      </c>
      <c r="F2544">
        <v>32000</v>
      </c>
      <c r="G2544">
        <v>-12000</v>
      </c>
      <c r="H2544">
        <v>-12000</v>
      </c>
      <c r="I2544">
        <v>-12000</v>
      </c>
    </row>
    <row r="2545" spans="1:9" x14ac:dyDescent="0.3">
      <c r="A2545" s="48" t="s">
        <v>44</v>
      </c>
      <c r="C2545">
        <v>-5000</v>
      </c>
      <c r="D2545">
        <v>-7000</v>
      </c>
      <c r="E2545">
        <v>5000</v>
      </c>
      <c r="F2545">
        <v>31000</v>
      </c>
      <c r="G2545">
        <v>-13000</v>
      </c>
      <c r="H2545">
        <v>-13000</v>
      </c>
      <c r="I2545">
        <v>-13000</v>
      </c>
    </row>
    <row r="2546" spans="1:9" x14ac:dyDescent="0.3">
      <c r="A2546" s="48" t="s">
        <v>54</v>
      </c>
      <c r="C2546">
        <v>-4000</v>
      </c>
      <c r="D2546">
        <v>-8000</v>
      </c>
      <c r="E2546">
        <v>4000</v>
      </c>
      <c r="F2546">
        <v>30000</v>
      </c>
      <c r="G2546">
        <v>-14000</v>
      </c>
      <c r="H2546">
        <v>-14000</v>
      </c>
      <c r="I2546">
        <v>-14000</v>
      </c>
    </row>
    <row r="2547" spans="1:9" x14ac:dyDescent="0.3">
      <c r="A2547" s="48" t="s">
        <v>55</v>
      </c>
      <c r="C2547">
        <v>-3000</v>
      </c>
      <c r="D2547">
        <v>-9000</v>
      </c>
      <c r="E2547">
        <v>3000</v>
      </c>
      <c r="F2547">
        <v>29000</v>
      </c>
      <c r="G2547">
        <v>-15000</v>
      </c>
      <c r="H2547">
        <v>-15000</v>
      </c>
      <c r="I2547">
        <v>-15000</v>
      </c>
    </row>
    <row r="2548" spans="1:9" x14ac:dyDescent="0.3">
      <c r="A2548" s="48" t="s">
        <v>56</v>
      </c>
      <c r="C2548">
        <v>-2000</v>
      </c>
      <c r="D2548">
        <v>-10000</v>
      </c>
      <c r="E2548">
        <v>2000</v>
      </c>
      <c r="F2548">
        <v>28000</v>
      </c>
      <c r="G2548">
        <v>-16000</v>
      </c>
      <c r="H2548">
        <v>-16000</v>
      </c>
      <c r="I2548">
        <v>-16000</v>
      </c>
    </row>
    <row r="2549" spans="1:9" x14ac:dyDescent="0.3">
      <c r="A2549" s="48" t="s">
        <v>57</v>
      </c>
      <c r="C2549">
        <v>-1000</v>
      </c>
      <c r="D2549">
        <v>-11000</v>
      </c>
      <c r="E2549">
        <v>1000</v>
      </c>
      <c r="F2549">
        <v>27000</v>
      </c>
      <c r="G2549">
        <v>-17000</v>
      </c>
      <c r="H2549">
        <v>-17000</v>
      </c>
      <c r="I2549">
        <v>-17000</v>
      </c>
    </row>
    <row r="2550" spans="1:9" x14ac:dyDescent="0.3">
      <c r="A2550" s="48" t="s">
        <v>58</v>
      </c>
      <c r="C2550">
        <v>0</v>
      </c>
      <c r="D2550">
        <v>-12000</v>
      </c>
      <c r="E2550">
        <v>0</v>
      </c>
      <c r="F2550">
        <v>26000</v>
      </c>
      <c r="G2550">
        <v>-18000</v>
      </c>
      <c r="H2550">
        <v>-18000</v>
      </c>
      <c r="I2550">
        <v>-18000</v>
      </c>
    </row>
    <row r="2551" spans="1:9" x14ac:dyDescent="0.3">
      <c r="A2551" s="15" t="s">
        <v>47</v>
      </c>
    </row>
    <row r="2552" spans="1:9" x14ac:dyDescent="0.3">
      <c r="A2552" s="48" t="s">
        <v>35</v>
      </c>
      <c r="C2552">
        <v>-10000</v>
      </c>
      <c r="D2552">
        <v>-1000</v>
      </c>
      <c r="E2552">
        <v>8000</v>
      </c>
      <c r="F2552">
        <v>34000</v>
      </c>
      <c r="G2552">
        <v>-10000</v>
      </c>
      <c r="H2552">
        <v>-10000</v>
      </c>
      <c r="I2552">
        <v>-10000</v>
      </c>
    </row>
    <row r="2553" spans="1:9" x14ac:dyDescent="0.3">
      <c r="A2553" s="48" t="s">
        <v>41</v>
      </c>
      <c r="C2553">
        <v>-9000</v>
      </c>
      <c r="D2553">
        <v>-2000</v>
      </c>
      <c r="E2553">
        <v>7000</v>
      </c>
      <c r="F2553">
        <v>33000</v>
      </c>
      <c r="G2553">
        <v>-11000</v>
      </c>
      <c r="H2553">
        <v>-11000</v>
      </c>
      <c r="I2553">
        <v>-11000</v>
      </c>
    </row>
    <row r="2554" spans="1:9" x14ac:dyDescent="0.3">
      <c r="A2554" s="48" t="s">
        <v>42</v>
      </c>
      <c r="C2554">
        <v>-8000</v>
      </c>
      <c r="D2554">
        <v>-3000</v>
      </c>
      <c r="E2554">
        <v>6000</v>
      </c>
      <c r="F2554">
        <v>32000</v>
      </c>
      <c r="G2554">
        <v>-12000</v>
      </c>
      <c r="H2554">
        <v>-12000</v>
      </c>
      <c r="I2554">
        <v>-12000</v>
      </c>
    </row>
    <row r="2555" spans="1:9" x14ac:dyDescent="0.3">
      <c r="A2555" s="48" t="s">
        <v>43</v>
      </c>
      <c r="C2555">
        <v>-7000</v>
      </c>
      <c r="D2555">
        <v>-4000</v>
      </c>
      <c r="E2555">
        <v>5000</v>
      </c>
      <c r="F2555">
        <v>31000</v>
      </c>
      <c r="G2555">
        <v>-13000</v>
      </c>
      <c r="H2555">
        <v>-13000</v>
      </c>
      <c r="I2555">
        <v>-13000</v>
      </c>
    </row>
    <row r="2556" spans="1:9" x14ac:dyDescent="0.3">
      <c r="A2556" s="48" t="s">
        <v>44</v>
      </c>
      <c r="C2556">
        <v>-6000</v>
      </c>
      <c r="D2556">
        <v>-5000</v>
      </c>
      <c r="E2556">
        <v>4000</v>
      </c>
      <c r="F2556">
        <v>30000</v>
      </c>
      <c r="G2556">
        <v>-14000</v>
      </c>
      <c r="H2556">
        <v>-14000</v>
      </c>
      <c r="I2556">
        <v>-14000</v>
      </c>
    </row>
    <row r="2557" spans="1:9" x14ac:dyDescent="0.3">
      <c r="A2557" s="48" t="s">
        <v>54</v>
      </c>
      <c r="C2557">
        <v>-5000</v>
      </c>
      <c r="D2557">
        <v>-6000</v>
      </c>
      <c r="E2557">
        <v>3000</v>
      </c>
      <c r="F2557">
        <v>29000</v>
      </c>
      <c r="G2557">
        <v>-15000</v>
      </c>
      <c r="H2557">
        <v>-15000</v>
      </c>
      <c r="I2557">
        <v>-15000</v>
      </c>
    </row>
    <row r="2558" spans="1:9" x14ac:dyDescent="0.3">
      <c r="A2558" s="48" t="s">
        <v>55</v>
      </c>
      <c r="C2558">
        <v>-4000</v>
      </c>
      <c r="D2558">
        <v>-7000</v>
      </c>
      <c r="E2558">
        <v>2000</v>
      </c>
      <c r="F2558">
        <v>28000</v>
      </c>
      <c r="G2558">
        <v>-16000</v>
      </c>
      <c r="H2558">
        <v>-16000</v>
      </c>
      <c r="I2558">
        <v>-16000</v>
      </c>
    </row>
    <row r="2559" spans="1:9" x14ac:dyDescent="0.3">
      <c r="A2559" s="48" t="s">
        <v>56</v>
      </c>
      <c r="C2559">
        <v>-3000</v>
      </c>
      <c r="D2559">
        <v>-8000</v>
      </c>
      <c r="E2559">
        <v>1000</v>
      </c>
      <c r="F2559">
        <v>27000</v>
      </c>
      <c r="G2559">
        <v>-17000</v>
      </c>
      <c r="H2559">
        <v>-17000</v>
      </c>
      <c r="I2559">
        <v>-17000</v>
      </c>
    </row>
    <row r="2560" spans="1:9" x14ac:dyDescent="0.3">
      <c r="A2560" s="48" t="s">
        <v>57</v>
      </c>
      <c r="C2560">
        <v>-2000</v>
      </c>
      <c r="D2560">
        <v>-9000</v>
      </c>
      <c r="E2560">
        <v>0</v>
      </c>
      <c r="F2560">
        <v>26000</v>
      </c>
      <c r="G2560">
        <v>-18000</v>
      </c>
      <c r="H2560">
        <v>-18000</v>
      </c>
      <c r="I2560">
        <v>-18000</v>
      </c>
    </row>
    <row r="2561" spans="1:9" x14ac:dyDescent="0.3">
      <c r="A2561" s="48" t="s">
        <v>58</v>
      </c>
      <c r="C2561">
        <v>-1000</v>
      </c>
      <c r="D2561">
        <v>-10000</v>
      </c>
      <c r="E2561">
        <v>-1000</v>
      </c>
      <c r="F2561">
        <v>25000</v>
      </c>
      <c r="G2561">
        <v>-19000</v>
      </c>
      <c r="H2561">
        <v>-19000</v>
      </c>
      <c r="I2561">
        <v>-19000</v>
      </c>
    </row>
    <row r="2562" spans="1:9" x14ac:dyDescent="0.3">
      <c r="A2562" s="15" t="s">
        <v>48</v>
      </c>
    </row>
    <row r="2563" spans="1:9" x14ac:dyDescent="0.3">
      <c r="A2563" s="48" t="s">
        <v>35</v>
      </c>
      <c r="C2563">
        <v>-11000</v>
      </c>
      <c r="D2563">
        <v>1000</v>
      </c>
      <c r="E2563">
        <v>7000</v>
      </c>
      <c r="F2563">
        <v>33000</v>
      </c>
      <c r="G2563">
        <v>-11000</v>
      </c>
      <c r="H2563">
        <v>-11000</v>
      </c>
      <c r="I2563">
        <v>-11000</v>
      </c>
    </row>
    <row r="2564" spans="1:9" x14ac:dyDescent="0.3">
      <c r="A2564" s="48" t="s">
        <v>41</v>
      </c>
      <c r="C2564">
        <v>-10000</v>
      </c>
      <c r="D2564">
        <v>0</v>
      </c>
      <c r="E2564">
        <v>6000</v>
      </c>
      <c r="F2564">
        <v>32000</v>
      </c>
      <c r="G2564">
        <v>-12000</v>
      </c>
      <c r="H2564">
        <v>-12000</v>
      </c>
      <c r="I2564">
        <v>-12000</v>
      </c>
    </row>
    <row r="2565" spans="1:9" x14ac:dyDescent="0.3">
      <c r="A2565" s="48" t="s">
        <v>42</v>
      </c>
      <c r="C2565">
        <v>-9000</v>
      </c>
      <c r="D2565">
        <v>-1000</v>
      </c>
      <c r="E2565">
        <v>5000</v>
      </c>
      <c r="F2565">
        <v>31000</v>
      </c>
      <c r="G2565">
        <v>-13000</v>
      </c>
      <c r="H2565">
        <v>-13000</v>
      </c>
      <c r="I2565">
        <v>-13000</v>
      </c>
    </row>
    <row r="2566" spans="1:9" x14ac:dyDescent="0.3">
      <c r="A2566" s="48" t="s">
        <v>43</v>
      </c>
      <c r="C2566">
        <v>-8000</v>
      </c>
      <c r="D2566">
        <v>-2000</v>
      </c>
      <c r="E2566">
        <v>4000</v>
      </c>
      <c r="F2566">
        <v>30000</v>
      </c>
      <c r="G2566">
        <v>-14000</v>
      </c>
      <c r="H2566">
        <v>-14000</v>
      </c>
      <c r="I2566">
        <v>-14000</v>
      </c>
    </row>
    <row r="2567" spans="1:9" x14ac:dyDescent="0.3">
      <c r="A2567" s="48" t="s">
        <v>44</v>
      </c>
      <c r="C2567">
        <v>-7000</v>
      </c>
      <c r="D2567">
        <v>-3000</v>
      </c>
      <c r="E2567">
        <v>3000</v>
      </c>
      <c r="F2567">
        <v>29000</v>
      </c>
      <c r="G2567">
        <v>-15000</v>
      </c>
      <c r="H2567">
        <v>-15000</v>
      </c>
      <c r="I2567">
        <v>-15000</v>
      </c>
    </row>
    <row r="2568" spans="1:9" x14ac:dyDescent="0.3">
      <c r="A2568" s="48" t="s">
        <v>54</v>
      </c>
      <c r="C2568">
        <v>-6000</v>
      </c>
      <c r="D2568">
        <v>-4000</v>
      </c>
      <c r="E2568">
        <v>2000</v>
      </c>
      <c r="F2568">
        <v>28000</v>
      </c>
      <c r="G2568">
        <v>-16000</v>
      </c>
      <c r="H2568">
        <v>-16000</v>
      </c>
      <c r="I2568">
        <v>-16000</v>
      </c>
    </row>
    <row r="2569" spans="1:9" x14ac:dyDescent="0.3">
      <c r="A2569" s="48" t="s">
        <v>55</v>
      </c>
      <c r="C2569">
        <v>-5000</v>
      </c>
      <c r="D2569">
        <v>-5000</v>
      </c>
      <c r="E2569">
        <v>1000</v>
      </c>
      <c r="F2569">
        <v>27000</v>
      </c>
      <c r="G2569">
        <v>-17000</v>
      </c>
      <c r="H2569">
        <v>-17000</v>
      </c>
      <c r="I2569">
        <v>-17000</v>
      </c>
    </row>
    <row r="2570" spans="1:9" x14ac:dyDescent="0.3">
      <c r="A2570" s="48" t="s">
        <v>56</v>
      </c>
      <c r="C2570">
        <v>-4000</v>
      </c>
      <c r="D2570">
        <v>-6000</v>
      </c>
      <c r="E2570">
        <v>0</v>
      </c>
      <c r="F2570">
        <v>26000</v>
      </c>
      <c r="G2570">
        <v>-18000</v>
      </c>
      <c r="H2570">
        <v>-18000</v>
      </c>
      <c r="I2570">
        <v>-18000</v>
      </c>
    </row>
    <row r="2571" spans="1:9" x14ac:dyDescent="0.3">
      <c r="A2571" s="48" t="s">
        <v>57</v>
      </c>
      <c r="C2571">
        <v>-3000</v>
      </c>
      <c r="D2571">
        <v>-7000</v>
      </c>
      <c r="E2571">
        <v>-1000</v>
      </c>
      <c r="F2571">
        <v>25000</v>
      </c>
      <c r="G2571">
        <v>-19000</v>
      </c>
      <c r="H2571">
        <v>-19000</v>
      </c>
      <c r="I2571">
        <v>-19000</v>
      </c>
    </row>
    <row r="2572" spans="1:9" x14ac:dyDescent="0.3">
      <c r="A2572" s="48" t="s">
        <v>58</v>
      </c>
      <c r="C2572">
        <v>-2000</v>
      </c>
      <c r="D2572">
        <v>-8000</v>
      </c>
      <c r="E2572">
        <v>-2000</v>
      </c>
      <c r="F2572">
        <v>24000</v>
      </c>
      <c r="G2572">
        <v>-20000</v>
      </c>
      <c r="H2572">
        <v>-20000</v>
      </c>
      <c r="I2572">
        <v>-20000</v>
      </c>
    </row>
    <row r="2573" spans="1:9" x14ac:dyDescent="0.3">
      <c r="A2573" s="15" t="s">
        <v>59</v>
      </c>
    </row>
    <row r="2574" spans="1:9" x14ac:dyDescent="0.3">
      <c r="A2574" s="48" t="s">
        <v>35</v>
      </c>
      <c r="C2574">
        <v>-12000</v>
      </c>
      <c r="D2574">
        <v>3000</v>
      </c>
      <c r="E2574">
        <v>6000</v>
      </c>
      <c r="F2574">
        <v>32000</v>
      </c>
      <c r="G2574">
        <v>-12000</v>
      </c>
      <c r="H2574">
        <v>-12000</v>
      </c>
      <c r="I2574">
        <v>-12000</v>
      </c>
    </row>
    <row r="2575" spans="1:9" x14ac:dyDescent="0.3">
      <c r="A2575" s="48" t="s">
        <v>41</v>
      </c>
      <c r="C2575">
        <v>-11000</v>
      </c>
      <c r="D2575">
        <v>2000</v>
      </c>
      <c r="E2575">
        <v>5000</v>
      </c>
      <c r="F2575">
        <v>31000</v>
      </c>
      <c r="G2575">
        <v>-13000</v>
      </c>
      <c r="H2575">
        <v>-13000</v>
      </c>
      <c r="I2575">
        <v>-13000</v>
      </c>
    </row>
    <row r="2576" spans="1:9" x14ac:dyDescent="0.3">
      <c r="A2576" s="48" t="s">
        <v>42</v>
      </c>
      <c r="C2576">
        <v>-10000</v>
      </c>
      <c r="D2576">
        <v>1000</v>
      </c>
      <c r="E2576">
        <v>4000</v>
      </c>
      <c r="F2576">
        <v>30000</v>
      </c>
      <c r="G2576">
        <v>-14000</v>
      </c>
      <c r="H2576">
        <v>-14000</v>
      </c>
      <c r="I2576">
        <v>-14000</v>
      </c>
    </row>
    <row r="2577" spans="1:9" x14ac:dyDescent="0.3">
      <c r="A2577" s="48" t="s">
        <v>43</v>
      </c>
      <c r="C2577">
        <v>-9000</v>
      </c>
      <c r="D2577">
        <v>0</v>
      </c>
      <c r="E2577">
        <v>3000</v>
      </c>
      <c r="F2577">
        <v>29000</v>
      </c>
      <c r="G2577">
        <v>-15000</v>
      </c>
      <c r="H2577">
        <v>-15000</v>
      </c>
      <c r="I2577">
        <v>-15000</v>
      </c>
    </row>
    <row r="2578" spans="1:9" x14ac:dyDescent="0.3">
      <c r="A2578" s="48" t="s">
        <v>44</v>
      </c>
      <c r="C2578">
        <v>-8000</v>
      </c>
      <c r="D2578">
        <v>-1000</v>
      </c>
      <c r="E2578">
        <v>2000</v>
      </c>
      <c r="F2578">
        <v>28000</v>
      </c>
      <c r="G2578">
        <v>-16000</v>
      </c>
      <c r="H2578">
        <v>-16000</v>
      </c>
      <c r="I2578">
        <v>-16000</v>
      </c>
    </row>
    <row r="2579" spans="1:9" x14ac:dyDescent="0.3">
      <c r="A2579" s="48" t="s">
        <v>54</v>
      </c>
      <c r="C2579">
        <v>-7000</v>
      </c>
      <c r="D2579">
        <v>-2000</v>
      </c>
      <c r="E2579">
        <v>1000</v>
      </c>
      <c r="F2579">
        <v>27000</v>
      </c>
      <c r="G2579">
        <v>-17000</v>
      </c>
      <c r="H2579">
        <v>-17000</v>
      </c>
      <c r="I2579">
        <v>-17000</v>
      </c>
    </row>
    <row r="2580" spans="1:9" x14ac:dyDescent="0.3">
      <c r="A2580" s="48" t="s">
        <v>55</v>
      </c>
      <c r="C2580">
        <v>-6000</v>
      </c>
      <c r="D2580">
        <v>-3000</v>
      </c>
      <c r="E2580">
        <v>0</v>
      </c>
      <c r="F2580">
        <v>26000</v>
      </c>
      <c r="G2580">
        <v>-18000</v>
      </c>
      <c r="H2580">
        <v>-18000</v>
      </c>
      <c r="I2580">
        <v>-18000</v>
      </c>
    </row>
    <row r="2581" spans="1:9" x14ac:dyDescent="0.3">
      <c r="A2581" s="48" t="s">
        <v>56</v>
      </c>
      <c r="C2581">
        <v>-5000</v>
      </c>
      <c r="D2581">
        <v>-4000</v>
      </c>
      <c r="E2581">
        <v>-1000</v>
      </c>
      <c r="F2581">
        <v>25000</v>
      </c>
      <c r="G2581">
        <v>-19000</v>
      </c>
      <c r="H2581">
        <v>-19000</v>
      </c>
      <c r="I2581">
        <v>-19000</v>
      </c>
    </row>
    <row r="2582" spans="1:9" x14ac:dyDescent="0.3">
      <c r="A2582" s="48" t="s">
        <v>57</v>
      </c>
      <c r="C2582">
        <v>-4000</v>
      </c>
      <c r="D2582">
        <v>-5000</v>
      </c>
      <c r="E2582">
        <v>-2000</v>
      </c>
      <c r="F2582">
        <v>24000</v>
      </c>
      <c r="G2582">
        <v>-20000</v>
      </c>
      <c r="H2582">
        <v>-20000</v>
      </c>
      <c r="I2582">
        <v>-20000</v>
      </c>
    </row>
    <row r="2583" spans="1:9" x14ac:dyDescent="0.3">
      <c r="A2583" s="48" t="s">
        <v>58</v>
      </c>
      <c r="C2583">
        <v>-3000</v>
      </c>
      <c r="D2583">
        <v>-6000</v>
      </c>
      <c r="E2583">
        <v>-3000</v>
      </c>
      <c r="F2583">
        <v>23000</v>
      </c>
      <c r="G2583">
        <v>-21000</v>
      </c>
      <c r="H2583">
        <v>-21000</v>
      </c>
      <c r="I2583">
        <v>-21000</v>
      </c>
    </row>
    <row r="2584" spans="1:9" x14ac:dyDescent="0.3">
      <c r="A2584" s="15" t="s">
        <v>60</v>
      </c>
    </row>
    <row r="2585" spans="1:9" x14ac:dyDescent="0.3">
      <c r="A2585" s="48" t="s">
        <v>35</v>
      </c>
      <c r="C2585">
        <v>-13000</v>
      </c>
      <c r="D2585">
        <v>5000</v>
      </c>
      <c r="E2585">
        <v>5000</v>
      </c>
      <c r="F2585">
        <v>31000</v>
      </c>
      <c r="G2585">
        <v>-13000</v>
      </c>
      <c r="H2585">
        <v>-13000</v>
      </c>
      <c r="I2585">
        <v>-13000</v>
      </c>
    </row>
    <row r="2586" spans="1:9" x14ac:dyDescent="0.3">
      <c r="A2586" s="48" t="s">
        <v>41</v>
      </c>
      <c r="C2586">
        <v>-12000</v>
      </c>
      <c r="D2586">
        <v>4000</v>
      </c>
      <c r="E2586">
        <v>4000</v>
      </c>
      <c r="F2586">
        <v>30000</v>
      </c>
      <c r="G2586">
        <v>-14000</v>
      </c>
      <c r="H2586">
        <v>-14000</v>
      </c>
      <c r="I2586">
        <v>-14000</v>
      </c>
    </row>
    <row r="2587" spans="1:9" x14ac:dyDescent="0.3">
      <c r="A2587" s="48" t="s">
        <v>42</v>
      </c>
      <c r="C2587">
        <v>-11000</v>
      </c>
      <c r="D2587">
        <v>3000</v>
      </c>
      <c r="E2587">
        <v>3000</v>
      </c>
      <c r="F2587">
        <v>29000</v>
      </c>
      <c r="G2587">
        <v>-15000</v>
      </c>
      <c r="H2587">
        <v>-15000</v>
      </c>
      <c r="I2587">
        <v>-15000</v>
      </c>
    </row>
    <row r="2588" spans="1:9" x14ac:dyDescent="0.3">
      <c r="A2588" s="48" t="s">
        <v>43</v>
      </c>
      <c r="C2588">
        <v>-10000</v>
      </c>
      <c r="D2588">
        <v>2000</v>
      </c>
      <c r="E2588">
        <v>2000</v>
      </c>
      <c r="F2588">
        <v>28000</v>
      </c>
      <c r="G2588">
        <v>-16000</v>
      </c>
      <c r="H2588">
        <v>-16000</v>
      </c>
      <c r="I2588">
        <v>-16000</v>
      </c>
    </row>
    <row r="2589" spans="1:9" x14ac:dyDescent="0.3">
      <c r="A2589" s="48" t="s">
        <v>44</v>
      </c>
      <c r="C2589">
        <v>-9000</v>
      </c>
      <c r="D2589">
        <v>1000</v>
      </c>
      <c r="E2589">
        <v>1000</v>
      </c>
      <c r="F2589">
        <v>27000</v>
      </c>
      <c r="G2589">
        <v>-17000</v>
      </c>
      <c r="H2589">
        <v>-17000</v>
      </c>
      <c r="I2589">
        <v>-17000</v>
      </c>
    </row>
    <row r="2590" spans="1:9" x14ac:dyDescent="0.3">
      <c r="A2590" s="48" t="s">
        <v>54</v>
      </c>
      <c r="C2590">
        <v>-8000</v>
      </c>
      <c r="D2590">
        <v>0</v>
      </c>
      <c r="E2590">
        <v>0</v>
      </c>
      <c r="F2590">
        <v>26000</v>
      </c>
      <c r="G2590">
        <v>-18000</v>
      </c>
      <c r="H2590">
        <v>-18000</v>
      </c>
      <c r="I2590">
        <v>-18000</v>
      </c>
    </row>
    <row r="2591" spans="1:9" x14ac:dyDescent="0.3">
      <c r="A2591" s="48" t="s">
        <v>55</v>
      </c>
      <c r="C2591">
        <v>-7000</v>
      </c>
      <c r="D2591">
        <v>-1000</v>
      </c>
      <c r="E2591">
        <v>-1000</v>
      </c>
      <c r="F2591">
        <v>25000</v>
      </c>
      <c r="G2591">
        <v>-19000</v>
      </c>
      <c r="H2591">
        <v>-19000</v>
      </c>
      <c r="I2591">
        <v>-19000</v>
      </c>
    </row>
    <row r="2592" spans="1:9" x14ac:dyDescent="0.3">
      <c r="A2592" s="48" t="s">
        <v>56</v>
      </c>
      <c r="C2592">
        <v>-6000</v>
      </c>
      <c r="D2592">
        <v>-2000</v>
      </c>
      <c r="E2592">
        <v>-2000</v>
      </c>
      <c r="F2592">
        <v>24000</v>
      </c>
      <c r="G2592">
        <v>-20000</v>
      </c>
      <c r="H2592">
        <v>-20000</v>
      </c>
      <c r="I2592">
        <v>-20000</v>
      </c>
    </row>
    <row r="2593" spans="1:9" x14ac:dyDescent="0.3">
      <c r="A2593" s="48" t="s">
        <v>57</v>
      </c>
      <c r="C2593">
        <v>-5000</v>
      </c>
      <c r="D2593">
        <v>-3000</v>
      </c>
      <c r="E2593">
        <v>-3000</v>
      </c>
      <c r="F2593">
        <v>23000</v>
      </c>
      <c r="G2593">
        <v>-21000</v>
      </c>
      <c r="H2593">
        <v>-21000</v>
      </c>
      <c r="I2593">
        <v>-21000</v>
      </c>
    </row>
    <row r="2594" spans="1:9" x14ac:dyDescent="0.3">
      <c r="A2594" s="48" t="s">
        <v>58</v>
      </c>
      <c r="C2594">
        <v>-4000</v>
      </c>
      <c r="D2594">
        <v>-4000</v>
      </c>
      <c r="E2594">
        <v>-4000</v>
      </c>
      <c r="F2594">
        <v>22000</v>
      </c>
      <c r="G2594">
        <v>-22000</v>
      </c>
      <c r="H2594">
        <v>-22000</v>
      </c>
      <c r="I2594">
        <v>-22000</v>
      </c>
    </row>
    <row r="2595" spans="1:9" x14ac:dyDescent="0.3">
      <c r="A2595" s="15" t="s">
        <v>61</v>
      </c>
    </row>
    <row r="2596" spans="1:9" x14ac:dyDescent="0.3">
      <c r="A2596" s="48" t="s">
        <v>35</v>
      </c>
      <c r="C2596">
        <v>-14000</v>
      </c>
      <c r="D2596">
        <v>7000</v>
      </c>
      <c r="E2596">
        <v>4000</v>
      </c>
      <c r="F2596">
        <v>30000</v>
      </c>
      <c r="G2596">
        <v>-14000</v>
      </c>
      <c r="H2596">
        <v>-14000</v>
      </c>
      <c r="I2596">
        <v>-14000</v>
      </c>
    </row>
    <row r="2597" spans="1:9" x14ac:dyDescent="0.3">
      <c r="A2597" s="48" t="s">
        <v>41</v>
      </c>
      <c r="C2597">
        <v>-13000</v>
      </c>
      <c r="D2597">
        <v>6000</v>
      </c>
      <c r="E2597">
        <v>3000</v>
      </c>
      <c r="F2597">
        <v>29000</v>
      </c>
      <c r="G2597">
        <v>-15000</v>
      </c>
      <c r="H2597">
        <v>-15000</v>
      </c>
      <c r="I2597">
        <v>-15000</v>
      </c>
    </row>
    <row r="2598" spans="1:9" x14ac:dyDescent="0.3">
      <c r="A2598" s="48" t="s">
        <v>42</v>
      </c>
      <c r="C2598">
        <v>-12000</v>
      </c>
      <c r="D2598">
        <v>5000</v>
      </c>
      <c r="E2598">
        <v>2000</v>
      </c>
      <c r="F2598">
        <v>28000</v>
      </c>
      <c r="G2598">
        <v>-16000</v>
      </c>
      <c r="H2598">
        <v>-16000</v>
      </c>
      <c r="I2598">
        <v>-16000</v>
      </c>
    </row>
    <row r="2599" spans="1:9" x14ac:dyDescent="0.3">
      <c r="A2599" s="48" t="s">
        <v>43</v>
      </c>
      <c r="C2599">
        <v>-11000</v>
      </c>
      <c r="D2599">
        <v>4000</v>
      </c>
      <c r="E2599">
        <v>1000</v>
      </c>
      <c r="F2599">
        <v>27000</v>
      </c>
      <c r="G2599">
        <v>-17000</v>
      </c>
      <c r="H2599">
        <v>-17000</v>
      </c>
      <c r="I2599">
        <v>-17000</v>
      </c>
    </row>
    <row r="2600" spans="1:9" x14ac:dyDescent="0.3">
      <c r="A2600" s="48" t="s">
        <v>44</v>
      </c>
      <c r="C2600">
        <v>-10000</v>
      </c>
      <c r="D2600">
        <v>3000</v>
      </c>
      <c r="E2600">
        <v>0</v>
      </c>
      <c r="F2600">
        <v>26000</v>
      </c>
      <c r="G2600">
        <v>-18000</v>
      </c>
      <c r="H2600">
        <v>-18000</v>
      </c>
      <c r="I2600">
        <v>-18000</v>
      </c>
    </row>
    <row r="2601" spans="1:9" x14ac:dyDescent="0.3">
      <c r="A2601" s="48" t="s">
        <v>54</v>
      </c>
      <c r="C2601">
        <v>-9000</v>
      </c>
      <c r="D2601">
        <v>2000</v>
      </c>
      <c r="E2601">
        <v>-1000</v>
      </c>
      <c r="F2601">
        <v>25000</v>
      </c>
      <c r="G2601">
        <v>-19000</v>
      </c>
      <c r="H2601">
        <v>-19000</v>
      </c>
      <c r="I2601">
        <v>-19000</v>
      </c>
    </row>
    <row r="2602" spans="1:9" x14ac:dyDescent="0.3">
      <c r="A2602" s="48" t="s">
        <v>55</v>
      </c>
      <c r="C2602">
        <v>-8000</v>
      </c>
      <c r="D2602">
        <v>1000</v>
      </c>
      <c r="E2602">
        <v>-2000</v>
      </c>
      <c r="F2602">
        <v>24000</v>
      </c>
      <c r="G2602">
        <v>-20000</v>
      </c>
      <c r="H2602">
        <v>-20000</v>
      </c>
      <c r="I2602">
        <v>-20000</v>
      </c>
    </row>
    <row r="2603" spans="1:9" x14ac:dyDescent="0.3">
      <c r="A2603" s="48" t="s">
        <v>56</v>
      </c>
      <c r="C2603">
        <v>-7000</v>
      </c>
      <c r="D2603">
        <v>0</v>
      </c>
      <c r="E2603">
        <v>-3000</v>
      </c>
      <c r="F2603">
        <v>23000</v>
      </c>
      <c r="G2603">
        <v>-21000</v>
      </c>
      <c r="H2603">
        <v>-21000</v>
      </c>
      <c r="I2603">
        <v>-21000</v>
      </c>
    </row>
    <row r="2604" spans="1:9" x14ac:dyDescent="0.3">
      <c r="A2604" s="48" t="s">
        <v>57</v>
      </c>
      <c r="C2604">
        <v>-6000</v>
      </c>
      <c r="D2604">
        <v>-1000</v>
      </c>
      <c r="E2604">
        <v>-4000</v>
      </c>
      <c r="F2604">
        <v>22000</v>
      </c>
      <c r="G2604">
        <v>-22000</v>
      </c>
      <c r="H2604">
        <v>-22000</v>
      </c>
      <c r="I2604">
        <v>-22000</v>
      </c>
    </row>
    <row r="2605" spans="1:9" x14ac:dyDescent="0.3">
      <c r="A2605" s="48" t="s">
        <v>58</v>
      </c>
      <c r="C2605">
        <v>-5000</v>
      </c>
      <c r="D2605">
        <v>-2000</v>
      </c>
      <c r="E2605">
        <v>-5000</v>
      </c>
      <c r="F2605">
        <v>21000</v>
      </c>
      <c r="G2605">
        <v>-23000</v>
      </c>
      <c r="H2605">
        <v>-23000</v>
      </c>
      <c r="I2605">
        <v>-23000</v>
      </c>
    </row>
    <row r="2606" spans="1:9" x14ac:dyDescent="0.3">
      <c r="A2606" s="15" t="s">
        <v>62</v>
      </c>
    </row>
    <row r="2607" spans="1:9" x14ac:dyDescent="0.3">
      <c r="A2607" s="48" t="s">
        <v>35</v>
      </c>
      <c r="C2607">
        <v>-15000</v>
      </c>
      <c r="D2607">
        <v>9000</v>
      </c>
      <c r="E2607">
        <v>3000</v>
      </c>
      <c r="F2607">
        <v>29000</v>
      </c>
      <c r="G2607">
        <v>-15000</v>
      </c>
      <c r="H2607">
        <v>-15000</v>
      </c>
      <c r="I2607">
        <v>-15000</v>
      </c>
    </row>
    <row r="2608" spans="1:9" x14ac:dyDescent="0.3">
      <c r="A2608" s="48" t="s">
        <v>41</v>
      </c>
      <c r="C2608">
        <v>-14000</v>
      </c>
      <c r="D2608">
        <v>8000</v>
      </c>
      <c r="E2608">
        <v>2000</v>
      </c>
      <c r="F2608">
        <v>28000</v>
      </c>
      <c r="G2608">
        <v>-16000</v>
      </c>
      <c r="H2608">
        <v>-16000</v>
      </c>
      <c r="I2608">
        <v>-16000</v>
      </c>
    </row>
    <row r="2609" spans="1:9" x14ac:dyDescent="0.3">
      <c r="A2609" s="48" t="s">
        <v>42</v>
      </c>
      <c r="C2609">
        <v>-13000</v>
      </c>
      <c r="D2609">
        <v>7000</v>
      </c>
      <c r="E2609">
        <v>1000</v>
      </c>
      <c r="F2609">
        <v>27000</v>
      </c>
      <c r="G2609">
        <v>-17000</v>
      </c>
      <c r="H2609">
        <v>-17000</v>
      </c>
      <c r="I2609">
        <v>-17000</v>
      </c>
    </row>
    <row r="2610" spans="1:9" x14ac:dyDescent="0.3">
      <c r="A2610" s="48" t="s">
        <v>43</v>
      </c>
      <c r="C2610">
        <v>-12000</v>
      </c>
      <c r="D2610">
        <v>6000</v>
      </c>
      <c r="E2610">
        <v>0</v>
      </c>
      <c r="F2610">
        <v>26000</v>
      </c>
      <c r="G2610">
        <v>-18000</v>
      </c>
      <c r="H2610">
        <v>-18000</v>
      </c>
      <c r="I2610">
        <v>-18000</v>
      </c>
    </row>
    <row r="2611" spans="1:9" x14ac:dyDescent="0.3">
      <c r="A2611" s="48" t="s">
        <v>44</v>
      </c>
      <c r="C2611">
        <v>-11000</v>
      </c>
      <c r="D2611">
        <v>5000</v>
      </c>
      <c r="E2611">
        <v>-1000</v>
      </c>
      <c r="F2611">
        <v>25000</v>
      </c>
      <c r="G2611">
        <v>-19000</v>
      </c>
      <c r="H2611">
        <v>-19000</v>
      </c>
      <c r="I2611">
        <v>-19000</v>
      </c>
    </row>
    <row r="2612" spans="1:9" x14ac:dyDescent="0.3">
      <c r="A2612" s="48" t="s">
        <v>54</v>
      </c>
      <c r="C2612">
        <v>-10000</v>
      </c>
      <c r="D2612">
        <v>4000</v>
      </c>
      <c r="E2612">
        <v>-2000</v>
      </c>
      <c r="F2612">
        <v>24000</v>
      </c>
      <c r="G2612">
        <v>-20000</v>
      </c>
      <c r="H2612">
        <v>-20000</v>
      </c>
      <c r="I2612">
        <v>-20000</v>
      </c>
    </row>
    <row r="2613" spans="1:9" x14ac:dyDescent="0.3">
      <c r="A2613" s="48" t="s">
        <v>55</v>
      </c>
      <c r="C2613">
        <v>-9000</v>
      </c>
      <c r="D2613">
        <v>3000</v>
      </c>
      <c r="E2613">
        <v>-3000</v>
      </c>
      <c r="F2613">
        <v>23000</v>
      </c>
      <c r="G2613">
        <v>-21000</v>
      </c>
      <c r="H2613">
        <v>-21000</v>
      </c>
      <c r="I2613">
        <v>-21000</v>
      </c>
    </row>
    <row r="2614" spans="1:9" x14ac:dyDescent="0.3">
      <c r="A2614" s="48" t="s">
        <v>56</v>
      </c>
      <c r="C2614">
        <v>-8000</v>
      </c>
      <c r="D2614">
        <v>2000</v>
      </c>
      <c r="E2614">
        <v>-4000</v>
      </c>
      <c r="F2614">
        <v>22000</v>
      </c>
      <c r="G2614">
        <v>-22000</v>
      </c>
      <c r="H2614">
        <v>-22000</v>
      </c>
      <c r="I2614">
        <v>-22000</v>
      </c>
    </row>
    <row r="2615" spans="1:9" x14ac:dyDescent="0.3">
      <c r="A2615" s="48" t="s">
        <v>57</v>
      </c>
      <c r="C2615">
        <v>-7000</v>
      </c>
      <c r="D2615">
        <v>1000</v>
      </c>
      <c r="E2615">
        <v>-5000</v>
      </c>
      <c r="F2615">
        <v>21000</v>
      </c>
      <c r="G2615">
        <v>-23000</v>
      </c>
      <c r="H2615">
        <v>-23000</v>
      </c>
      <c r="I2615">
        <v>-23000</v>
      </c>
    </row>
    <row r="2616" spans="1:9" x14ac:dyDescent="0.3">
      <c r="A2616" s="48" t="s">
        <v>58</v>
      </c>
      <c r="C2616">
        <v>-6000</v>
      </c>
      <c r="D2616">
        <v>0</v>
      </c>
      <c r="E2616">
        <v>-6000</v>
      </c>
      <c r="F2616">
        <v>20000</v>
      </c>
      <c r="G2616">
        <v>-24000</v>
      </c>
      <c r="H2616">
        <v>-24000</v>
      </c>
      <c r="I2616">
        <v>-24000</v>
      </c>
    </row>
    <row r="2617" spans="1:9" x14ac:dyDescent="0.3">
      <c r="A2617" s="15" t="s">
        <v>63</v>
      </c>
    </row>
    <row r="2618" spans="1:9" x14ac:dyDescent="0.3">
      <c r="A2618" s="48" t="s">
        <v>35</v>
      </c>
      <c r="C2618">
        <v>-16000</v>
      </c>
      <c r="D2618">
        <v>11000</v>
      </c>
      <c r="E2618">
        <v>2000</v>
      </c>
      <c r="F2618">
        <v>28000</v>
      </c>
      <c r="G2618">
        <v>-16000</v>
      </c>
      <c r="H2618">
        <v>-16000</v>
      </c>
      <c r="I2618">
        <v>-16000</v>
      </c>
    </row>
    <row r="2619" spans="1:9" x14ac:dyDescent="0.3">
      <c r="A2619" s="48" t="s">
        <v>41</v>
      </c>
      <c r="C2619">
        <v>-15000</v>
      </c>
      <c r="D2619">
        <v>10000</v>
      </c>
      <c r="E2619">
        <v>1000</v>
      </c>
      <c r="F2619">
        <v>27000</v>
      </c>
      <c r="G2619">
        <v>-17000</v>
      </c>
      <c r="H2619">
        <v>-17000</v>
      </c>
      <c r="I2619">
        <v>-17000</v>
      </c>
    </row>
    <row r="2620" spans="1:9" x14ac:dyDescent="0.3">
      <c r="A2620" s="48" t="s">
        <v>42</v>
      </c>
      <c r="C2620">
        <v>-14000</v>
      </c>
      <c r="D2620">
        <v>9000</v>
      </c>
      <c r="E2620">
        <v>0</v>
      </c>
      <c r="F2620">
        <v>26000</v>
      </c>
      <c r="G2620">
        <v>-18000</v>
      </c>
      <c r="H2620">
        <v>-18000</v>
      </c>
      <c r="I2620">
        <v>-18000</v>
      </c>
    </row>
    <row r="2621" spans="1:9" x14ac:dyDescent="0.3">
      <c r="A2621" s="48" t="s">
        <v>43</v>
      </c>
      <c r="C2621">
        <v>-13000</v>
      </c>
      <c r="D2621">
        <v>8000</v>
      </c>
      <c r="E2621">
        <v>-1000</v>
      </c>
      <c r="F2621">
        <v>25000</v>
      </c>
      <c r="G2621">
        <v>-19000</v>
      </c>
      <c r="H2621">
        <v>-19000</v>
      </c>
      <c r="I2621">
        <v>-19000</v>
      </c>
    </row>
    <row r="2622" spans="1:9" x14ac:dyDescent="0.3">
      <c r="A2622" s="48" t="s">
        <v>44</v>
      </c>
      <c r="C2622">
        <v>-12000</v>
      </c>
      <c r="D2622">
        <v>7000</v>
      </c>
      <c r="E2622">
        <v>-2000</v>
      </c>
      <c r="F2622">
        <v>24000</v>
      </c>
      <c r="G2622">
        <v>-20000</v>
      </c>
      <c r="H2622">
        <v>-20000</v>
      </c>
      <c r="I2622">
        <v>-20000</v>
      </c>
    </row>
    <row r="2623" spans="1:9" x14ac:dyDescent="0.3">
      <c r="A2623" s="48" t="s">
        <v>54</v>
      </c>
      <c r="C2623">
        <v>-11000</v>
      </c>
      <c r="D2623">
        <v>6000</v>
      </c>
      <c r="E2623">
        <v>-3000</v>
      </c>
      <c r="F2623">
        <v>23000</v>
      </c>
      <c r="G2623">
        <v>-21000</v>
      </c>
      <c r="H2623">
        <v>-21000</v>
      </c>
      <c r="I2623">
        <v>-21000</v>
      </c>
    </row>
    <row r="2624" spans="1:9" x14ac:dyDescent="0.3">
      <c r="A2624" s="48" t="s">
        <v>55</v>
      </c>
      <c r="C2624">
        <v>-10000</v>
      </c>
      <c r="D2624">
        <v>5000</v>
      </c>
      <c r="E2624">
        <v>-4000</v>
      </c>
      <c r="F2624">
        <v>22000</v>
      </c>
      <c r="G2624">
        <v>-22000</v>
      </c>
      <c r="H2624">
        <v>-22000</v>
      </c>
      <c r="I2624">
        <v>-22000</v>
      </c>
    </row>
    <row r="2625" spans="1:9" x14ac:dyDescent="0.3">
      <c r="A2625" s="48" t="s">
        <v>56</v>
      </c>
      <c r="C2625">
        <v>-9000</v>
      </c>
      <c r="D2625">
        <v>4000</v>
      </c>
      <c r="E2625">
        <v>-5000</v>
      </c>
      <c r="F2625">
        <v>21000</v>
      </c>
      <c r="G2625">
        <v>-23000</v>
      </c>
      <c r="H2625">
        <v>-23000</v>
      </c>
      <c r="I2625">
        <v>-23000</v>
      </c>
    </row>
    <row r="2626" spans="1:9" x14ac:dyDescent="0.3">
      <c r="A2626" s="48" t="s">
        <v>57</v>
      </c>
      <c r="C2626">
        <v>-8000</v>
      </c>
      <c r="D2626">
        <v>3000</v>
      </c>
      <c r="E2626">
        <v>-6000</v>
      </c>
      <c r="F2626">
        <v>20000</v>
      </c>
      <c r="G2626">
        <v>-24000</v>
      </c>
      <c r="H2626">
        <v>-24000</v>
      </c>
      <c r="I2626">
        <v>-24000</v>
      </c>
    </row>
    <row r="2627" spans="1:9" x14ac:dyDescent="0.3">
      <c r="A2627" s="48" t="s">
        <v>58</v>
      </c>
      <c r="C2627">
        <v>-7000</v>
      </c>
      <c r="D2627">
        <v>2000</v>
      </c>
      <c r="E2627">
        <v>-7000</v>
      </c>
      <c r="F2627">
        <v>19000</v>
      </c>
      <c r="G2627">
        <v>-25000</v>
      </c>
      <c r="H2627">
        <v>-25000</v>
      </c>
      <c r="I2627">
        <v>-25000</v>
      </c>
    </row>
    <row r="2628" spans="1:9" x14ac:dyDescent="0.3">
      <c r="A2628" s="14" t="s">
        <v>52</v>
      </c>
    </row>
    <row r="2629" spans="1:9" x14ac:dyDescent="0.3">
      <c r="A2629" s="15" t="s">
        <v>34</v>
      </c>
    </row>
    <row r="2630" spans="1:9" x14ac:dyDescent="0.3">
      <c r="A2630" s="48" t="s">
        <v>35</v>
      </c>
      <c r="C2630">
        <v>-8000</v>
      </c>
      <c r="D2630">
        <v>-8000</v>
      </c>
      <c r="E2630">
        <v>16000</v>
      </c>
      <c r="F2630">
        <v>36000</v>
      </c>
      <c r="G2630">
        <v>-8000</v>
      </c>
      <c r="H2630">
        <v>-8000</v>
      </c>
      <c r="I2630">
        <v>-8000</v>
      </c>
    </row>
    <row r="2631" spans="1:9" x14ac:dyDescent="0.3">
      <c r="A2631" s="48" t="s">
        <v>41</v>
      </c>
      <c r="C2631">
        <v>-7000</v>
      </c>
      <c r="D2631">
        <v>-9000</v>
      </c>
      <c r="E2631">
        <v>15000</v>
      </c>
      <c r="F2631">
        <v>35000</v>
      </c>
      <c r="G2631">
        <v>-9000</v>
      </c>
      <c r="H2631">
        <v>-9000</v>
      </c>
      <c r="I2631">
        <v>-9000</v>
      </c>
    </row>
    <row r="2632" spans="1:9" x14ac:dyDescent="0.3">
      <c r="A2632" s="48" t="s">
        <v>42</v>
      </c>
      <c r="C2632">
        <v>-6000</v>
      </c>
      <c r="D2632">
        <v>-10000</v>
      </c>
      <c r="E2632">
        <v>14000</v>
      </c>
      <c r="F2632">
        <v>34000</v>
      </c>
      <c r="G2632">
        <v>-10000</v>
      </c>
      <c r="H2632">
        <v>-10000</v>
      </c>
      <c r="I2632">
        <v>-10000</v>
      </c>
    </row>
    <row r="2633" spans="1:9" x14ac:dyDescent="0.3">
      <c r="A2633" s="48" t="s">
        <v>43</v>
      </c>
      <c r="C2633">
        <v>-5000</v>
      </c>
      <c r="D2633">
        <v>-11000</v>
      </c>
      <c r="E2633">
        <v>13000</v>
      </c>
      <c r="F2633">
        <v>33000</v>
      </c>
      <c r="G2633">
        <v>-11000</v>
      </c>
      <c r="H2633">
        <v>-11000</v>
      </c>
      <c r="I2633">
        <v>-11000</v>
      </c>
    </row>
    <row r="2634" spans="1:9" x14ac:dyDescent="0.3">
      <c r="A2634" s="48" t="s">
        <v>44</v>
      </c>
      <c r="C2634">
        <v>-4000</v>
      </c>
      <c r="D2634">
        <v>-12000</v>
      </c>
      <c r="E2634">
        <v>12000</v>
      </c>
      <c r="F2634">
        <v>32000</v>
      </c>
      <c r="G2634">
        <v>-12000</v>
      </c>
      <c r="H2634">
        <v>-12000</v>
      </c>
      <c r="I2634">
        <v>-12000</v>
      </c>
    </row>
    <row r="2635" spans="1:9" x14ac:dyDescent="0.3">
      <c r="A2635" s="48" t="s">
        <v>54</v>
      </c>
      <c r="C2635">
        <v>-3000</v>
      </c>
      <c r="D2635">
        <v>-13000</v>
      </c>
      <c r="E2635">
        <v>11000</v>
      </c>
      <c r="F2635">
        <v>31000</v>
      </c>
      <c r="G2635">
        <v>-13000</v>
      </c>
      <c r="H2635">
        <v>-13000</v>
      </c>
      <c r="I2635">
        <v>-13000</v>
      </c>
    </row>
    <row r="2636" spans="1:9" x14ac:dyDescent="0.3">
      <c r="A2636" s="48" t="s">
        <v>55</v>
      </c>
      <c r="C2636">
        <v>-2000</v>
      </c>
      <c r="D2636">
        <v>-14000</v>
      </c>
      <c r="E2636">
        <v>10000</v>
      </c>
      <c r="F2636">
        <v>30000</v>
      </c>
      <c r="G2636">
        <v>-14000</v>
      </c>
      <c r="H2636">
        <v>-14000</v>
      </c>
      <c r="I2636">
        <v>-14000</v>
      </c>
    </row>
    <row r="2637" spans="1:9" x14ac:dyDescent="0.3">
      <c r="A2637" s="48" t="s">
        <v>56</v>
      </c>
      <c r="C2637">
        <v>-1000</v>
      </c>
      <c r="D2637">
        <v>-15000</v>
      </c>
      <c r="E2637">
        <v>9000</v>
      </c>
      <c r="F2637">
        <v>29000</v>
      </c>
      <c r="G2637">
        <v>-15000</v>
      </c>
      <c r="H2637">
        <v>-15000</v>
      </c>
      <c r="I2637">
        <v>-15000</v>
      </c>
    </row>
    <row r="2638" spans="1:9" x14ac:dyDescent="0.3">
      <c r="A2638" s="48" t="s">
        <v>57</v>
      </c>
      <c r="C2638">
        <v>0</v>
      </c>
      <c r="D2638">
        <v>-16000</v>
      </c>
      <c r="E2638">
        <v>8000</v>
      </c>
      <c r="F2638">
        <v>28000</v>
      </c>
      <c r="G2638">
        <v>-16000</v>
      </c>
      <c r="H2638">
        <v>-16000</v>
      </c>
      <c r="I2638">
        <v>-16000</v>
      </c>
    </row>
    <row r="2639" spans="1:9" x14ac:dyDescent="0.3">
      <c r="A2639" s="48" t="s">
        <v>58</v>
      </c>
      <c r="C2639">
        <v>1000</v>
      </c>
      <c r="D2639">
        <v>-17000</v>
      </c>
      <c r="E2639">
        <v>7000</v>
      </c>
      <c r="F2639">
        <v>27000</v>
      </c>
      <c r="G2639">
        <v>-17000</v>
      </c>
      <c r="H2639">
        <v>-17000</v>
      </c>
      <c r="I2639">
        <v>-17000</v>
      </c>
    </row>
    <row r="2640" spans="1:9" x14ac:dyDescent="0.3">
      <c r="A2640" s="15" t="s">
        <v>45</v>
      </c>
    </row>
    <row r="2641" spans="1:9" x14ac:dyDescent="0.3">
      <c r="A2641" s="48" t="s">
        <v>35</v>
      </c>
      <c r="C2641">
        <v>-9000</v>
      </c>
      <c r="D2641">
        <v>-6000</v>
      </c>
      <c r="E2641">
        <v>15000</v>
      </c>
      <c r="F2641">
        <v>35000</v>
      </c>
      <c r="G2641">
        <v>-9000</v>
      </c>
      <c r="H2641">
        <v>-9000</v>
      </c>
      <c r="I2641">
        <v>-9000</v>
      </c>
    </row>
    <row r="2642" spans="1:9" x14ac:dyDescent="0.3">
      <c r="A2642" s="48" t="s">
        <v>41</v>
      </c>
      <c r="C2642">
        <v>-8000</v>
      </c>
      <c r="D2642">
        <v>-7000</v>
      </c>
      <c r="E2642">
        <v>14000</v>
      </c>
      <c r="F2642">
        <v>34000</v>
      </c>
      <c r="G2642">
        <v>-10000</v>
      </c>
      <c r="H2642">
        <v>-10000</v>
      </c>
      <c r="I2642">
        <v>-10000</v>
      </c>
    </row>
    <row r="2643" spans="1:9" x14ac:dyDescent="0.3">
      <c r="A2643" s="48" t="s">
        <v>42</v>
      </c>
      <c r="C2643">
        <v>-7000</v>
      </c>
      <c r="D2643">
        <v>-8000</v>
      </c>
      <c r="E2643">
        <v>13000</v>
      </c>
      <c r="F2643">
        <v>33000</v>
      </c>
      <c r="G2643">
        <v>-11000</v>
      </c>
      <c r="H2643">
        <v>-11000</v>
      </c>
      <c r="I2643">
        <v>-11000</v>
      </c>
    </row>
    <row r="2644" spans="1:9" x14ac:dyDescent="0.3">
      <c r="A2644" s="48" t="s">
        <v>43</v>
      </c>
      <c r="C2644">
        <v>-6000</v>
      </c>
      <c r="D2644">
        <v>-9000</v>
      </c>
      <c r="E2644">
        <v>12000</v>
      </c>
      <c r="F2644">
        <v>32000</v>
      </c>
      <c r="G2644">
        <v>-12000</v>
      </c>
      <c r="H2644">
        <v>-12000</v>
      </c>
      <c r="I2644">
        <v>-12000</v>
      </c>
    </row>
    <row r="2645" spans="1:9" x14ac:dyDescent="0.3">
      <c r="A2645" s="48" t="s">
        <v>44</v>
      </c>
      <c r="C2645">
        <v>-5000</v>
      </c>
      <c r="D2645">
        <v>-10000</v>
      </c>
      <c r="E2645">
        <v>11000</v>
      </c>
      <c r="F2645">
        <v>31000</v>
      </c>
      <c r="G2645">
        <v>-13000</v>
      </c>
      <c r="H2645">
        <v>-13000</v>
      </c>
      <c r="I2645">
        <v>-13000</v>
      </c>
    </row>
    <row r="2646" spans="1:9" x14ac:dyDescent="0.3">
      <c r="A2646" s="48" t="s">
        <v>54</v>
      </c>
      <c r="C2646">
        <v>-4000</v>
      </c>
      <c r="D2646">
        <v>-11000</v>
      </c>
      <c r="E2646">
        <v>10000</v>
      </c>
      <c r="F2646">
        <v>30000</v>
      </c>
      <c r="G2646">
        <v>-14000</v>
      </c>
      <c r="H2646">
        <v>-14000</v>
      </c>
      <c r="I2646">
        <v>-14000</v>
      </c>
    </row>
    <row r="2647" spans="1:9" x14ac:dyDescent="0.3">
      <c r="A2647" s="48" t="s">
        <v>55</v>
      </c>
      <c r="C2647">
        <v>-3000</v>
      </c>
      <c r="D2647">
        <v>-12000</v>
      </c>
      <c r="E2647">
        <v>9000</v>
      </c>
      <c r="F2647">
        <v>29000</v>
      </c>
      <c r="G2647">
        <v>-15000</v>
      </c>
      <c r="H2647">
        <v>-15000</v>
      </c>
      <c r="I2647">
        <v>-15000</v>
      </c>
    </row>
    <row r="2648" spans="1:9" x14ac:dyDescent="0.3">
      <c r="A2648" s="48" t="s">
        <v>56</v>
      </c>
      <c r="C2648">
        <v>-2000</v>
      </c>
      <c r="D2648">
        <v>-13000</v>
      </c>
      <c r="E2648">
        <v>8000</v>
      </c>
      <c r="F2648">
        <v>28000</v>
      </c>
      <c r="G2648">
        <v>-16000</v>
      </c>
      <c r="H2648">
        <v>-16000</v>
      </c>
      <c r="I2648">
        <v>-16000</v>
      </c>
    </row>
    <row r="2649" spans="1:9" x14ac:dyDescent="0.3">
      <c r="A2649" s="48" t="s">
        <v>57</v>
      </c>
      <c r="C2649">
        <v>-1000</v>
      </c>
      <c r="D2649">
        <v>-14000</v>
      </c>
      <c r="E2649">
        <v>7000</v>
      </c>
      <c r="F2649">
        <v>27000</v>
      </c>
      <c r="G2649">
        <v>-17000</v>
      </c>
      <c r="H2649">
        <v>-17000</v>
      </c>
      <c r="I2649">
        <v>-17000</v>
      </c>
    </row>
    <row r="2650" spans="1:9" x14ac:dyDescent="0.3">
      <c r="A2650" s="48" t="s">
        <v>58</v>
      </c>
      <c r="C2650">
        <v>0</v>
      </c>
      <c r="D2650">
        <v>-15000</v>
      </c>
      <c r="E2650">
        <v>6000</v>
      </c>
      <c r="F2650">
        <v>26000</v>
      </c>
      <c r="G2650">
        <v>-18000</v>
      </c>
      <c r="H2650">
        <v>-18000</v>
      </c>
      <c r="I2650">
        <v>-18000</v>
      </c>
    </row>
    <row r="2651" spans="1:9" x14ac:dyDescent="0.3">
      <c r="A2651" s="15" t="s">
        <v>46</v>
      </c>
    </row>
    <row r="2652" spans="1:9" x14ac:dyDescent="0.3">
      <c r="A2652" s="48" t="s">
        <v>35</v>
      </c>
      <c r="C2652">
        <v>-10000</v>
      </c>
      <c r="D2652">
        <v>-4000</v>
      </c>
      <c r="E2652">
        <v>14000</v>
      </c>
      <c r="F2652">
        <v>34000</v>
      </c>
      <c r="G2652">
        <v>-10000</v>
      </c>
      <c r="H2652">
        <v>-10000</v>
      </c>
      <c r="I2652">
        <v>-10000</v>
      </c>
    </row>
    <row r="2653" spans="1:9" x14ac:dyDescent="0.3">
      <c r="A2653" s="48" t="s">
        <v>41</v>
      </c>
      <c r="C2653">
        <v>-9000</v>
      </c>
      <c r="D2653">
        <v>-5000</v>
      </c>
      <c r="E2653">
        <v>13000</v>
      </c>
      <c r="F2653">
        <v>33000</v>
      </c>
      <c r="G2653">
        <v>-11000</v>
      </c>
      <c r="H2653">
        <v>-11000</v>
      </c>
      <c r="I2653">
        <v>-11000</v>
      </c>
    </row>
    <row r="2654" spans="1:9" x14ac:dyDescent="0.3">
      <c r="A2654" s="48" t="s">
        <v>42</v>
      </c>
      <c r="C2654">
        <v>-8000</v>
      </c>
      <c r="D2654">
        <v>-6000</v>
      </c>
      <c r="E2654">
        <v>12000</v>
      </c>
      <c r="F2654">
        <v>32000</v>
      </c>
      <c r="G2654">
        <v>-12000</v>
      </c>
      <c r="H2654">
        <v>-12000</v>
      </c>
      <c r="I2654">
        <v>-12000</v>
      </c>
    </row>
    <row r="2655" spans="1:9" x14ac:dyDescent="0.3">
      <c r="A2655" s="48" t="s">
        <v>43</v>
      </c>
      <c r="C2655">
        <v>-7000</v>
      </c>
      <c r="D2655">
        <v>-7000</v>
      </c>
      <c r="E2655">
        <v>11000</v>
      </c>
      <c r="F2655">
        <v>31000</v>
      </c>
      <c r="G2655">
        <v>-13000</v>
      </c>
      <c r="H2655">
        <v>-13000</v>
      </c>
      <c r="I2655">
        <v>-13000</v>
      </c>
    </row>
    <row r="2656" spans="1:9" x14ac:dyDescent="0.3">
      <c r="A2656" s="48" t="s">
        <v>44</v>
      </c>
      <c r="C2656">
        <v>-6000</v>
      </c>
      <c r="D2656">
        <v>-8000</v>
      </c>
      <c r="E2656">
        <v>10000</v>
      </c>
      <c r="F2656">
        <v>30000</v>
      </c>
      <c r="G2656">
        <v>-14000</v>
      </c>
      <c r="H2656">
        <v>-14000</v>
      </c>
      <c r="I2656">
        <v>-14000</v>
      </c>
    </row>
    <row r="2657" spans="1:9" x14ac:dyDescent="0.3">
      <c r="A2657" s="48" t="s">
        <v>54</v>
      </c>
      <c r="C2657">
        <v>-5000</v>
      </c>
      <c r="D2657">
        <v>-9000</v>
      </c>
      <c r="E2657">
        <v>9000</v>
      </c>
      <c r="F2657">
        <v>29000</v>
      </c>
      <c r="G2657">
        <v>-15000</v>
      </c>
      <c r="H2657">
        <v>-15000</v>
      </c>
      <c r="I2657">
        <v>-15000</v>
      </c>
    </row>
    <row r="2658" spans="1:9" x14ac:dyDescent="0.3">
      <c r="A2658" s="48" t="s">
        <v>55</v>
      </c>
      <c r="C2658">
        <v>-4000</v>
      </c>
      <c r="D2658">
        <v>-10000</v>
      </c>
      <c r="E2658">
        <v>8000</v>
      </c>
      <c r="F2658">
        <v>28000</v>
      </c>
      <c r="G2658">
        <v>-16000</v>
      </c>
      <c r="H2658">
        <v>-16000</v>
      </c>
      <c r="I2658">
        <v>-16000</v>
      </c>
    </row>
    <row r="2659" spans="1:9" x14ac:dyDescent="0.3">
      <c r="A2659" s="48" t="s">
        <v>56</v>
      </c>
      <c r="C2659">
        <v>-3000</v>
      </c>
      <c r="D2659">
        <v>-11000</v>
      </c>
      <c r="E2659">
        <v>7000</v>
      </c>
      <c r="F2659">
        <v>27000</v>
      </c>
      <c r="G2659">
        <v>-17000</v>
      </c>
      <c r="H2659">
        <v>-17000</v>
      </c>
      <c r="I2659">
        <v>-17000</v>
      </c>
    </row>
    <row r="2660" spans="1:9" x14ac:dyDescent="0.3">
      <c r="A2660" s="48" t="s">
        <v>57</v>
      </c>
      <c r="C2660">
        <v>-2000</v>
      </c>
      <c r="D2660">
        <v>-12000</v>
      </c>
      <c r="E2660">
        <v>6000</v>
      </c>
      <c r="F2660">
        <v>26000</v>
      </c>
      <c r="G2660">
        <v>-18000</v>
      </c>
      <c r="H2660">
        <v>-18000</v>
      </c>
      <c r="I2660">
        <v>-18000</v>
      </c>
    </row>
    <row r="2661" spans="1:9" x14ac:dyDescent="0.3">
      <c r="A2661" s="48" t="s">
        <v>58</v>
      </c>
      <c r="C2661">
        <v>-1000</v>
      </c>
      <c r="D2661">
        <v>-13000</v>
      </c>
      <c r="E2661">
        <v>5000</v>
      </c>
      <c r="F2661">
        <v>25000</v>
      </c>
      <c r="G2661">
        <v>-19000</v>
      </c>
      <c r="H2661">
        <v>-19000</v>
      </c>
      <c r="I2661">
        <v>-19000</v>
      </c>
    </row>
    <row r="2662" spans="1:9" x14ac:dyDescent="0.3">
      <c r="A2662" s="15" t="s">
        <v>47</v>
      </c>
    </row>
    <row r="2663" spans="1:9" x14ac:dyDescent="0.3">
      <c r="A2663" s="48" t="s">
        <v>35</v>
      </c>
      <c r="C2663">
        <v>-11000</v>
      </c>
      <c r="D2663">
        <v>-2000</v>
      </c>
      <c r="E2663">
        <v>13000</v>
      </c>
      <c r="F2663">
        <v>33000</v>
      </c>
      <c r="G2663">
        <v>-11000</v>
      </c>
      <c r="H2663">
        <v>-11000</v>
      </c>
      <c r="I2663">
        <v>-11000</v>
      </c>
    </row>
    <row r="2664" spans="1:9" x14ac:dyDescent="0.3">
      <c r="A2664" s="48" t="s">
        <v>41</v>
      </c>
      <c r="C2664">
        <v>-10000</v>
      </c>
      <c r="D2664">
        <v>-3000</v>
      </c>
      <c r="E2664">
        <v>12000</v>
      </c>
      <c r="F2664">
        <v>32000</v>
      </c>
      <c r="G2664">
        <v>-12000</v>
      </c>
      <c r="H2664">
        <v>-12000</v>
      </c>
      <c r="I2664">
        <v>-12000</v>
      </c>
    </row>
    <row r="2665" spans="1:9" x14ac:dyDescent="0.3">
      <c r="A2665" s="48" t="s">
        <v>42</v>
      </c>
      <c r="C2665">
        <v>-9000</v>
      </c>
      <c r="D2665">
        <v>-4000</v>
      </c>
      <c r="E2665">
        <v>11000</v>
      </c>
      <c r="F2665">
        <v>31000</v>
      </c>
      <c r="G2665">
        <v>-13000</v>
      </c>
      <c r="H2665">
        <v>-13000</v>
      </c>
      <c r="I2665">
        <v>-13000</v>
      </c>
    </row>
    <row r="2666" spans="1:9" x14ac:dyDescent="0.3">
      <c r="A2666" s="48" t="s">
        <v>43</v>
      </c>
      <c r="C2666">
        <v>-8000</v>
      </c>
      <c r="D2666">
        <v>-5000</v>
      </c>
      <c r="E2666">
        <v>10000</v>
      </c>
      <c r="F2666">
        <v>30000</v>
      </c>
      <c r="G2666">
        <v>-14000</v>
      </c>
      <c r="H2666">
        <v>-14000</v>
      </c>
      <c r="I2666">
        <v>-14000</v>
      </c>
    </row>
    <row r="2667" spans="1:9" x14ac:dyDescent="0.3">
      <c r="A2667" s="48" t="s">
        <v>44</v>
      </c>
      <c r="C2667">
        <v>-7000</v>
      </c>
      <c r="D2667">
        <v>-6000</v>
      </c>
      <c r="E2667">
        <v>9000</v>
      </c>
      <c r="F2667">
        <v>29000</v>
      </c>
      <c r="G2667">
        <v>-15000</v>
      </c>
      <c r="H2667">
        <v>-15000</v>
      </c>
      <c r="I2667">
        <v>-15000</v>
      </c>
    </row>
    <row r="2668" spans="1:9" x14ac:dyDescent="0.3">
      <c r="A2668" s="48" t="s">
        <v>54</v>
      </c>
      <c r="C2668">
        <v>-6000</v>
      </c>
      <c r="D2668">
        <v>-7000</v>
      </c>
      <c r="E2668">
        <v>8000</v>
      </c>
      <c r="F2668">
        <v>28000</v>
      </c>
      <c r="G2668">
        <v>-16000</v>
      </c>
      <c r="H2668">
        <v>-16000</v>
      </c>
      <c r="I2668">
        <v>-16000</v>
      </c>
    </row>
    <row r="2669" spans="1:9" x14ac:dyDescent="0.3">
      <c r="A2669" s="48" t="s">
        <v>55</v>
      </c>
      <c r="C2669">
        <v>-5000</v>
      </c>
      <c r="D2669">
        <v>-8000</v>
      </c>
      <c r="E2669">
        <v>7000</v>
      </c>
      <c r="F2669">
        <v>27000</v>
      </c>
      <c r="G2669">
        <v>-17000</v>
      </c>
      <c r="H2669">
        <v>-17000</v>
      </c>
      <c r="I2669">
        <v>-17000</v>
      </c>
    </row>
    <row r="2670" spans="1:9" x14ac:dyDescent="0.3">
      <c r="A2670" s="48" t="s">
        <v>56</v>
      </c>
      <c r="C2670">
        <v>-4000</v>
      </c>
      <c r="D2670">
        <v>-9000</v>
      </c>
      <c r="E2670">
        <v>6000</v>
      </c>
      <c r="F2670">
        <v>26000</v>
      </c>
      <c r="G2670">
        <v>-18000</v>
      </c>
      <c r="H2670">
        <v>-18000</v>
      </c>
      <c r="I2670">
        <v>-18000</v>
      </c>
    </row>
    <row r="2671" spans="1:9" x14ac:dyDescent="0.3">
      <c r="A2671" s="48" t="s">
        <v>57</v>
      </c>
      <c r="C2671">
        <v>-3000</v>
      </c>
      <c r="D2671">
        <v>-10000</v>
      </c>
      <c r="E2671">
        <v>5000</v>
      </c>
      <c r="F2671">
        <v>25000</v>
      </c>
      <c r="G2671">
        <v>-19000</v>
      </c>
      <c r="H2671">
        <v>-19000</v>
      </c>
      <c r="I2671">
        <v>-19000</v>
      </c>
    </row>
    <row r="2672" spans="1:9" x14ac:dyDescent="0.3">
      <c r="A2672" s="48" t="s">
        <v>58</v>
      </c>
      <c r="C2672">
        <v>-2000</v>
      </c>
      <c r="D2672">
        <v>-11000</v>
      </c>
      <c r="E2672">
        <v>4000</v>
      </c>
      <c r="F2672">
        <v>24000</v>
      </c>
      <c r="G2672">
        <v>-20000</v>
      </c>
      <c r="H2672">
        <v>-20000</v>
      </c>
      <c r="I2672">
        <v>-20000</v>
      </c>
    </row>
    <row r="2673" spans="1:9" x14ac:dyDescent="0.3">
      <c r="A2673" s="15" t="s">
        <v>48</v>
      </c>
    </row>
    <row r="2674" spans="1:9" x14ac:dyDescent="0.3">
      <c r="A2674" s="48" t="s">
        <v>35</v>
      </c>
      <c r="C2674">
        <v>-12000</v>
      </c>
      <c r="D2674">
        <v>0</v>
      </c>
      <c r="E2674">
        <v>12000</v>
      </c>
      <c r="F2674">
        <v>32000</v>
      </c>
      <c r="G2674">
        <v>-12000</v>
      </c>
      <c r="H2674">
        <v>-12000</v>
      </c>
      <c r="I2674">
        <v>-12000</v>
      </c>
    </row>
    <row r="2675" spans="1:9" x14ac:dyDescent="0.3">
      <c r="A2675" s="48" t="s">
        <v>41</v>
      </c>
      <c r="C2675">
        <v>-11000</v>
      </c>
      <c r="D2675">
        <v>-1000</v>
      </c>
      <c r="E2675">
        <v>11000</v>
      </c>
      <c r="F2675">
        <v>31000</v>
      </c>
      <c r="G2675">
        <v>-13000</v>
      </c>
      <c r="H2675">
        <v>-13000</v>
      </c>
      <c r="I2675">
        <v>-13000</v>
      </c>
    </row>
    <row r="2676" spans="1:9" x14ac:dyDescent="0.3">
      <c r="A2676" s="48" t="s">
        <v>42</v>
      </c>
      <c r="C2676">
        <v>-10000</v>
      </c>
      <c r="D2676">
        <v>-2000</v>
      </c>
      <c r="E2676">
        <v>10000</v>
      </c>
      <c r="F2676">
        <v>30000</v>
      </c>
      <c r="G2676">
        <v>-14000</v>
      </c>
      <c r="H2676">
        <v>-14000</v>
      </c>
      <c r="I2676">
        <v>-14000</v>
      </c>
    </row>
    <row r="2677" spans="1:9" x14ac:dyDescent="0.3">
      <c r="A2677" s="48" t="s">
        <v>43</v>
      </c>
      <c r="C2677">
        <v>-9000</v>
      </c>
      <c r="D2677">
        <v>-3000</v>
      </c>
      <c r="E2677">
        <v>9000</v>
      </c>
      <c r="F2677">
        <v>29000</v>
      </c>
      <c r="G2677">
        <v>-15000</v>
      </c>
      <c r="H2677">
        <v>-15000</v>
      </c>
      <c r="I2677">
        <v>-15000</v>
      </c>
    </row>
    <row r="2678" spans="1:9" x14ac:dyDescent="0.3">
      <c r="A2678" s="48" t="s">
        <v>44</v>
      </c>
      <c r="C2678">
        <v>-8000</v>
      </c>
      <c r="D2678">
        <v>-4000</v>
      </c>
      <c r="E2678">
        <v>8000</v>
      </c>
      <c r="F2678">
        <v>28000</v>
      </c>
      <c r="G2678">
        <v>-16000</v>
      </c>
      <c r="H2678">
        <v>-16000</v>
      </c>
      <c r="I2678">
        <v>-16000</v>
      </c>
    </row>
    <row r="2679" spans="1:9" x14ac:dyDescent="0.3">
      <c r="A2679" s="48" t="s">
        <v>54</v>
      </c>
      <c r="C2679">
        <v>-7000</v>
      </c>
      <c r="D2679">
        <v>-5000</v>
      </c>
      <c r="E2679">
        <v>7000</v>
      </c>
      <c r="F2679">
        <v>27000</v>
      </c>
      <c r="G2679">
        <v>-17000</v>
      </c>
      <c r="H2679">
        <v>-17000</v>
      </c>
      <c r="I2679">
        <v>-17000</v>
      </c>
    </row>
    <row r="2680" spans="1:9" x14ac:dyDescent="0.3">
      <c r="A2680" s="48" t="s">
        <v>55</v>
      </c>
      <c r="C2680">
        <v>-6000</v>
      </c>
      <c r="D2680">
        <v>-6000</v>
      </c>
      <c r="E2680">
        <v>6000</v>
      </c>
      <c r="F2680">
        <v>26000</v>
      </c>
      <c r="G2680">
        <v>-18000</v>
      </c>
      <c r="H2680">
        <v>-18000</v>
      </c>
      <c r="I2680">
        <v>-18000</v>
      </c>
    </row>
    <row r="2681" spans="1:9" x14ac:dyDescent="0.3">
      <c r="A2681" s="48" t="s">
        <v>56</v>
      </c>
      <c r="C2681">
        <v>-5000</v>
      </c>
      <c r="D2681">
        <v>-7000</v>
      </c>
      <c r="E2681">
        <v>5000</v>
      </c>
      <c r="F2681">
        <v>25000</v>
      </c>
      <c r="G2681">
        <v>-19000</v>
      </c>
      <c r="H2681">
        <v>-19000</v>
      </c>
      <c r="I2681">
        <v>-19000</v>
      </c>
    </row>
    <row r="2682" spans="1:9" x14ac:dyDescent="0.3">
      <c r="A2682" s="48" t="s">
        <v>57</v>
      </c>
      <c r="C2682">
        <v>-4000</v>
      </c>
      <c r="D2682">
        <v>-8000</v>
      </c>
      <c r="E2682">
        <v>4000</v>
      </c>
      <c r="F2682">
        <v>24000</v>
      </c>
      <c r="G2682">
        <v>-20000</v>
      </c>
      <c r="H2682">
        <v>-20000</v>
      </c>
      <c r="I2682">
        <v>-20000</v>
      </c>
    </row>
    <row r="2683" spans="1:9" x14ac:dyDescent="0.3">
      <c r="A2683" s="48" t="s">
        <v>58</v>
      </c>
      <c r="C2683">
        <v>-3000</v>
      </c>
      <c r="D2683">
        <v>-9000</v>
      </c>
      <c r="E2683">
        <v>3000</v>
      </c>
      <c r="F2683">
        <v>23000</v>
      </c>
      <c r="G2683">
        <v>-21000</v>
      </c>
      <c r="H2683">
        <v>-21000</v>
      </c>
      <c r="I2683">
        <v>-21000</v>
      </c>
    </row>
    <row r="2684" spans="1:9" x14ac:dyDescent="0.3">
      <c r="A2684" s="15" t="s">
        <v>59</v>
      </c>
    </row>
    <row r="2685" spans="1:9" x14ac:dyDescent="0.3">
      <c r="A2685" s="48" t="s">
        <v>35</v>
      </c>
      <c r="C2685">
        <v>-13000</v>
      </c>
      <c r="D2685">
        <v>2000</v>
      </c>
      <c r="E2685">
        <v>11000</v>
      </c>
      <c r="F2685">
        <v>31000</v>
      </c>
      <c r="G2685">
        <v>-13000</v>
      </c>
      <c r="H2685">
        <v>-13000</v>
      </c>
      <c r="I2685">
        <v>-13000</v>
      </c>
    </row>
    <row r="2686" spans="1:9" x14ac:dyDescent="0.3">
      <c r="A2686" s="48" t="s">
        <v>41</v>
      </c>
      <c r="C2686">
        <v>-12000</v>
      </c>
      <c r="D2686">
        <v>1000</v>
      </c>
      <c r="E2686">
        <v>10000</v>
      </c>
      <c r="F2686">
        <v>30000</v>
      </c>
      <c r="G2686">
        <v>-14000</v>
      </c>
      <c r="H2686">
        <v>-14000</v>
      </c>
      <c r="I2686">
        <v>-14000</v>
      </c>
    </row>
    <row r="2687" spans="1:9" x14ac:dyDescent="0.3">
      <c r="A2687" s="48" t="s">
        <v>42</v>
      </c>
      <c r="C2687">
        <v>-11000</v>
      </c>
      <c r="D2687">
        <v>0</v>
      </c>
      <c r="E2687">
        <v>9000</v>
      </c>
      <c r="F2687">
        <v>29000</v>
      </c>
      <c r="G2687">
        <v>-15000</v>
      </c>
      <c r="H2687">
        <v>-15000</v>
      </c>
      <c r="I2687">
        <v>-15000</v>
      </c>
    </row>
    <row r="2688" spans="1:9" x14ac:dyDescent="0.3">
      <c r="A2688" s="48" t="s">
        <v>43</v>
      </c>
      <c r="C2688">
        <v>-10000</v>
      </c>
      <c r="D2688">
        <v>-1000</v>
      </c>
      <c r="E2688">
        <v>8000</v>
      </c>
      <c r="F2688">
        <v>28000</v>
      </c>
      <c r="G2688">
        <v>-16000</v>
      </c>
      <c r="H2688">
        <v>-16000</v>
      </c>
      <c r="I2688">
        <v>-16000</v>
      </c>
    </row>
    <row r="2689" spans="1:9" x14ac:dyDescent="0.3">
      <c r="A2689" s="48" t="s">
        <v>44</v>
      </c>
      <c r="C2689">
        <v>-9000</v>
      </c>
      <c r="D2689">
        <v>-2000</v>
      </c>
      <c r="E2689">
        <v>7000</v>
      </c>
      <c r="F2689">
        <v>27000</v>
      </c>
      <c r="G2689">
        <v>-17000</v>
      </c>
      <c r="H2689">
        <v>-17000</v>
      </c>
      <c r="I2689">
        <v>-17000</v>
      </c>
    </row>
    <row r="2690" spans="1:9" x14ac:dyDescent="0.3">
      <c r="A2690" s="48" t="s">
        <v>54</v>
      </c>
      <c r="C2690">
        <v>-8000</v>
      </c>
      <c r="D2690">
        <v>-3000</v>
      </c>
      <c r="E2690">
        <v>6000</v>
      </c>
      <c r="F2690">
        <v>26000</v>
      </c>
      <c r="G2690">
        <v>-18000</v>
      </c>
      <c r="H2690">
        <v>-18000</v>
      </c>
      <c r="I2690">
        <v>-18000</v>
      </c>
    </row>
    <row r="2691" spans="1:9" x14ac:dyDescent="0.3">
      <c r="A2691" s="48" t="s">
        <v>55</v>
      </c>
      <c r="C2691">
        <v>-7000</v>
      </c>
      <c r="D2691">
        <v>-4000</v>
      </c>
      <c r="E2691">
        <v>5000</v>
      </c>
      <c r="F2691">
        <v>25000</v>
      </c>
      <c r="G2691">
        <v>-19000</v>
      </c>
      <c r="H2691">
        <v>-19000</v>
      </c>
      <c r="I2691">
        <v>-19000</v>
      </c>
    </row>
    <row r="2692" spans="1:9" x14ac:dyDescent="0.3">
      <c r="A2692" s="48" t="s">
        <v>56</v>
      </c>
      <c r="C2692">
        <v>-6000</v>
      </c>
      <c r="D2692">
        <v>-5000</v>
      </c>
      <c r="E2692">
        <v>4000</v>
      </c>
      <c r="F2692">
        <v>24000</v>
      </c>
      <c r="G2692">
        <v>-20000</v>
      </c>
      <c r="H2692">
        <v>-20000</v>
      </c>
      <c r="I2692">
        <v>-20000</v>
      </c>
    </row>
    <row r="2693" spans="1:9" x14ac:dyDescent="0.3">
      <c r="A2693" s="48" t="s">
        <v>57</v>
      </c>
      <c r="C2693">
        <v>-5000</v>
      </c>
      <c r="D2693">
        <v>-6000</v>
      </c>
      <c r="E2693">
        <v>3000</v>
      </c>
      <c r="F2693">
        <v>23000</v>
      </c>
      <c r="G2693">
        <v>-21000</v>
      </c>
      <c r="H2693">
        <v>-21000</v>
      </c>
      <c r="I2693">
        <v>-21000</v>
      </c>
    </row>
    <row r="2694" spans="1:9" x14ac:dyDescent="0.3">
      <c r="A2694" s="48" t="s">
        <v>58</v>
      </c>
      <c r="C2694">
        <v>-4000</v>
      </c>
      <c r="D2694">
        <v>-7000</v>
      </c>
      <c r="E2694">
        <v>2000</v>
      </c>
      <c r="F2694">
        <v>22000</v>
      </c>
      <c r="G2694">
        <v>-22000</v>
      </c>
      <c r="H2694">
        <v>-22000</v>
      </c>
      <c r="I2694">
        <v>-22000</v>
      </c>
    </row>
    <row r="2695" spans="1:9" x14ac:dyDescent="0.3">
      <c r="A2695" s="15" t="s">
        <v>60</v>
      </c>
    </row>
    <row r="2696" spans="1:9" x14ac:dyDescent="0.3">
      <c r="A2696" s="48" t="s">
        <v>35</v>
      </c>
      <c r="C2696">
        <v>-14000</v>
      </c>
      <c r="D2696">
        <v>4000</v>
      </c>
      <c r="E2696">
        <v>10000</v>
      </c>
      <c r="F2696">
        <v>30000</v>
      </c>
      <c r="G2696">
        <v>-14000</v>
      </c>
      <c r="H2696">
        <v>-14000</v>
      </c>
      <c r="I2696">
        <v>-14000</v>
      </c>
    </row>
    <row r="2697" spans="1:9" x14ac:dyDescent="0.3">
      <c r="A2697" s="48" t="s">
        <v>41</v>
      </c>
      <c r="C2697">
        <v>-13000</v>
      </c>
      <c r="D2697">
        <v>3000</v>
      </c>
      <c r="E2697">
        <v>9000</v>
      </c>
      <c r="F2697">
        <v>29000</v>
      </c>
      <c r="G2697">
        <v>-15000</v>
      </c>
      <c r="H2697">
        <v>-15000</v>
      </c>
      <c r="I2697">
        <v>-15000</v>
      </c>
    </row>
    <row r="2698" spans="1:9" x14ac:dyDescent="0.3">
      <c r="A2698" s="48" t="s">
        <v>42</v>
      </c>
      <c r="C2698">
        <v>-12000</v>
      </c>
      <c r="D2698">
        <v>2000</v>
      </c>
      <c r="E2698">
        <v>8000</v>
      </c>
      <c r="F2698">
        <v>28000</v>
      </c>
      <c r="G2698">
        <v>-16000</v>
      </c>
      <c r="H2698">
        <v>-16000</v>
      </c>
      <c r="I2698">
        <v>-16000</v>
      </c>
    </row>
    <row r="2699" spans="1:9" x14ac:dyDescent="0.3">
      <c r="A2699" s="48" t="s">
        <v>43</v>
      </c>
      <c r="C2699">
        <v>-11000</v>
      </c>
      <c r="D2699">
        <v>1000</v>
      </c>
      <c r="E2699">
        <v>7000</v>
      </c>
      <c r="F2699">
        <v>27000</v>
      </c>
      <c r="G2699">
        <v>-17000</v>
      </c>
      <c r="H2699">
        <v>-17000</v>
      </c>
      <c r="I2699">
        <v>-17000</v>
      </c>
    </row>
    <row r="2700" spans="1:9" x14ac:dyDescent="0.3">
      <c r="A2700" s="48" t="s">
        <v>44</v>
      </c>
      <c r="C2700">
        <v>-10000</v>
      </c>
      <c r="D2700">
        <v>0</v>
      </c>
      <c r="E2700">
        <v>6000</v>
      </c>
      <c r="F2700">
        <v>26000</v>
      </c>
      <c r="G2700">
        <v>-18000</v>
      </c>
      <c r="H2700">
        <v>-18000</v>
      </c>
      <c r="I2700">
        <v>-18000</v>
      </c>
    </row>
    <row r="2701" spans="1:9" x14ac:dyDescent="0.3">
      <c r="A2701" s="48" t="s">
        <v>54</v>
      </c>
      <c r="C2701">
        <v>-9000</v>
      </c>
      <c r="D2701">
        <v>-1000</v>
      </c>
      <c r="E2701">
        <v>5000</v>
      </c>
      <c r="F2701">
        <v>25000</v>
      </c>
      <c r="G2701">
        <v>-19000</v>
      </c>
      <c r="H2701">
        <v>-19000</v>
      </c>
      <c r="I2701">
        <v>-19000</v>
      </c>
    </row>
    <row r="2702" spans="1:9" x14ac:dyDescent="0.3">
      <c r="A2702" s="48" t="s">
        <v>55</v>
      </c>
      <c r="C2702">
        <v>-8000</v>
      </c>
      <c r="D2702">
        <v>-2000</v>
      </c>
      <c r="E2702">
        <v>4000</v>
      </c>
      <c r="F2702">
        <v>24000</v>
      </c>
      <c r="G2702">
        <v>-20000</v>
      </c>
      <c r="H2702">
        <v>-20000</v>
      </c>
      <c r="I2702">
        <v>-20000</v>
      </c>
    </row>
    <row r="2703" spans="1:9" x14ac:dyDescent="0.3">
      <c r="A2703" s="48" t="s">
        <v>56</v>
      </c>
      <c r="C2703">
        <v>-7000</v>
      </c>
      <c r="D2703">
        <v>-3000</v>
      </c>
      <c r="E2703">
        <v>3000</v>
      </c>
      <c r="F2703">
        <v>23000</v>
      </c>
      <c r="G2703">
        <v>-21000</v>
      </c>
      <c r="H2703">
        <v>-21000</v>
      </c>
      <c r="I2703">
        <v>-21000</v>
      </c>
    </row>
    <row r="2704" spans="1:9" x14ac:dyDescent="0.3">
      <c r="A2704" s="48" t="s">
        <v>57</v>
      </c>
      <c r="C2704">
        <v>-6000</v>
      </c>
      <c r="D2704">
        <v>-4000</v>
      </c>
      <c r="E2704">
        <v>2000</v>
      </c>
      <c r="F2704">
        <v>22000</v>
      </c>
      <c r="G2704">
        <v>-22000</v>
      </c>
      <c r="H2704">
        <v>-22000</v>
      </c>
      <c r="I2704">
        <v>-22000</v>
      </c>
    </row>
    <row r="2705" spans="1:9" x14ac:dyDescent="0.3">
      <c r="A2705" s="48" t="s">
        <v>58</v>
      </c>
      <c r="C2705">
        <v>-5000</v>
      </c>
      <c r="D2705">
        <v>-5000</v>
      </c>
      <c r="E2705">
        <v>1000</v>
      </c>
      <c r="F2705">
        <v>21000</v>
      </c>
      <c r="G2705">
        <v>-23000</v>
      </c>
      <c r="H2705">
        <v>-23000</v>
      </c>
      <c r="I2705">
        <v>-23000</v>
      </c>
    </row>
    <row r="2706" spans="1:9" x14ac:dyDescent="0.3">
      <c r="A2706" s="15" t="s">
        <v>61</v>
      </c>
    </row>
    <row r="2707" spans="1:9" x14ac:dyDescent="0.3">
      <c r="A2707" s="48" t="s">
        <v>35</v>
      </c>
      <c r="C2707">
        <v>-15000</v>
      </c>
      <c r="D2707">
        <v>6000</v>
      </c>
      <c r="E2707">
        <v>9000</v>
      </c>
      <c r="F2707">
        <v>29000</v>
      </c>
      <c r="G2707">
        <v>-15000</v>
      </c>
      <c r="H2707">
        <v>-15000</v>
      </c>
      <c r="I2707">
        <v>-15000</v>
      </c>
    </row>
    <row r="2708" spans="1:9" x14ac:dyDescent="0.3">
      <c r="A2708" s="48" t="s">
        <v>41</v>
      </c>
      <c r="C2708">
        <v>-14000</v>
      </c>
      <c r="D2708">
        <v>5000</v>
      </c>
      <c r="E2708">
        <v>8000</v>
      </c>
      <c r="F2708">
        <v>28000</v>
      </c>
      <c r="G2708">
        <v>-16000</v>
      </c>
      <c r="H2708">
        <v>-16000</v>
      </c>
      <c r="I2708">
        <v>-16000</v>
      </c>
    </row>
    <row r="2709" spans="1:9" x14ac:dyDescent="0.3">
      <c r="A2709" s="48" t="s">
        <v>42</v>
      </c>
      <c r="C2709">
        <v>-13000</v>
      </c>
      <c r="D2709">
        <v>4000</v>
      </c>
      <c r="E2709">
        <v>7000</v>
      </c>
      <c r="F2709">
        <v>27000</v>
      </c>
      <c r="G2709">
        <v>-17000</v>
      </c>
      <c r="H2709">
        <v>-17000</v>
      </c>
      <c r="I2709">
        <v>-17000</v>
      </c>
    </row>
    <row r="2710" spans="1:9" x14ac:dyDescent="0.3">
      <c r="A2710" s="48" t="s">
        <v>43</v>
      </c>
      <c r="C2710">
        <v>-12000</v>
      </c>
      <c r="D2710">
        <v>3000</v>
      </c>
      <c r="E2710">
        <v>6000</v>
      </c>
      <c r="F2710">
        <v>26000</v>
      </c>
      <c r="G2710">
        <v>-18000</v>
      </c>
      <c r="H2710">
        <v>-18000</v>
      </c>
      <c r="I2710">
        <v>-18000</v>
      </c>
    </row>
    <row r="2711" spans="1:9" x14ac:dyDescent="0.3">
      <c r="A2711" s="48" t="s">
        <v>44</v>
      </c>
      <c r="C2711">
        <v>-11000</v>
      </c>
      <c r="D2711">
        <v>2000</v>
      </c>
      <c r="E2711">
        <v>5000</v>
      </c>
      <c r="F2711">
        <v>25000</v>
      </c>
      <c r="G2711">
        <v>-19000</v>
      </c>
      <c r="H2711">
        <v>-19000</v>
      </c>
      <c r="I2711">
        <v>-19000</v>
      </c>
    </row>
    <row r="2712" spans="1:9" x14ac:dyDescent="0.3">
      <c r="A2712" s="48" t="s">
        <v>54</v>
      </c>
      <c r="C2712">
        <v>-10000</v>
      </c>
      <c r="D2712">
        <v>1000</v>
      </c>
      <c r="E2712">
        <v>4000</v>
      </c>
      <c r="F2712">
        <v>24000</v>
      </c>
      <c r="G2712">
        <v>-20000</v>
      </c>
      <c r="H2712">
        <v>-20000</v>
      </c>
      <c r="I2712">
        <v>-20000</v>
      </c>
    </row>
    <row r="2713" spans="1:9" x14ac:dyDescent="0.3">
      <c r="A2713" s="48" t="s">
        <v>55</v>
      </c>
      <c r="C2713">
        <v>-9000</v>
      </c>
      <c r="D2713">
        <v>0</v>
      </c>
      <c r="E2713">
        <v>3000</v>
      </c>
      <c r="F2713">
        <v>23000</v>
      </c>
      <c r="G2713">
        <v>-21000</v>
      </c>
      <c r="H2713">
        <v>-21000</v>
      </c>
      <c r="I2713">
        <v>-21000</v>
      </c>
    </row>
    <row r="2714" spans="1:9" x14ac:dyDescent="0.3">
      <c r="A2714" s="48" t="s">
        <v>56</v>
      </c>
      <c r="C2714">
        <v>-8000</v>
      </c>
      <c r="D2714">
        <v>-1000</v>
      </c>
      <c r="E2714">
        <v>2000</v>
      </c>
      <c r="F2714">
        <v>22000</v>
      </c>
      <c r="G2714">
        <v>-22000</v>
      </c>
      <c r="H2714">
        <v>-22000</v>
      </c>
      <c r="I2714">
        <v>-22000</v>
      </c>
    </row>
    <row r="2715" spans="1:9" x14ac:dyDescent="0.3">
      <c r="A2715" s="48" t="s">
        <v>57</v>
      </c>
      <c r="C2715">
        <v>-7000</v>
      </c>
      <c r="D2715">
        <v>-2000</v>
      </c>
      <c r="E2715">
        <v>1000</v>
      </c>
      <c r="F2715">
        <v>21000</v>
      </c>
      <c r="G2715">
        <v>-23000</v>
      </c>
      <c r="H2715">
        <v>-23000</v>
      </c>
      <c r="I2715">
        <v>-23000</v>
      </c>
    </row>
    <row r="2716" spans="1:9" x14ac:dyDescent="0.3">
      <c r="A2716" s="48" t="s">
        <v>58</v>
      </c>
      <c r="C2716">
        <v>-6000</v>
      </c>
      <c r="D2716">
        <v>-3000</v>
      </c>
      <c r="E2716">
        <v>0</v>
      </c>
      <c r="F2716">
        <v>20000</v>
      </c>
      <c r="G2716">
        <v>-24000</v>
      </c>
      <c r="H2716">
        <v>-24000</v>
      </c>
      <c r="I2716">
        <v>-24000</v>
      </c>
    </row>
    <row r="2717" spans="1:9" x14ac:dyDescent="0.3">
      <c r="A2717" s="15" t="s">
        <v>62</v>
      </c>
    </row>
    <row r="2718" spans="1:9" x14ac:dyDescent="0.3">
      <c r="A2718" s="48" t="s">
        <v>35</v>
      </c>
      <c r="C2718">
        <v>-16000</v>
      </c>
      <c r="D2718">
        <v>8000</v>
      </c>
      <c r="E2718">
        <v>8000</v>
      </c>
      <c r="F2718">
        <v>28000</v>
      </c>
      <c r="G2718">
        <v>-16000</v>
      </c>
      <c r="H2718">
        <v>-16000</v>
      </c>
      <c r="I2718">
        <v>-16000</v>
      </c>
    </row>
    <row r="2719" spans="1:9" x14ac:dyDescent="0.3">
      <c r="A2719" s="48" t="s">
        <v>41</v>
      </c>
      <c r="C2719">
        <v>-15000</v>
      </c>
      <c r="D2719">
        <v>7000</v>
      </c>
      <c r="E2719">
        <v>7000</v>
      </c>
      <c r="F2719">
        <v>27000</v>
      </c>
      <c r="G2719">
        <v>-17000</v>
      </c>
      <c r="H2719">
        <v>-17000</v>
      </c>
      <c r="I2719">
        <v>-17000</v>
      </c>
    </row>
    <row r="2720" spans="1:9" x14ac:dyDescent="0.3">
      <c r="A2720" s="48" t="s">
        <v>42</v>
      </c>
      <c r="C2720">
        <v>-14000</v>
      </c>
      <c r="D2720">
        <v>6000</v>
      </c>
      <c r="E2720">
        <v>6000</v>
      </c>
      <c r="F2720">
        <v>26000</v>
      </c>
      <c r="G2720">
        <v>-18000</v>
      </c>
      <c r="H2720">
        <v>-18000</v>
      </c>
      <c r="I2720">
        <v>-18000</v>
      </c>
    </row>
    <row r="2721" spans="1:9" x14ac:dyDescent="0.3">
      <c r="A2721" s="48" t="s">
        <v>43</v>
      </c>
      <c r="C2721">
        <v>-13000</v>
      </c>
      <c r="D2721">
        <v>5000</v>
      </c>
      <c r="E2721">
        <v>5000</v>
      </c>
      <c r="F2721">
        <v>25000</v>
      </c>
      <c r="G2721">
        <v>-19000</v>
      </c>
      <c r="H2721">
        <v>-19000</v>
      </c>
      <c r="I2721">
        <v>-19000</v>
      </c>
    </row>
    <row r="2722" spans="1:9" x14ac:dyDescent="0.3">
      <c r="A2722" s="48" t="s">
        <v>44</v>
      </c>
      <c r="C2722">
        <v>-12000</v>
      </c>
      <c r="D2722">
        <v>4000</v>
      </c>
      <c r="E2722">
        <v>4000</v>
      </c>
      <c r="F2722">
        <v>24000</v>
      </c>
      <c r="G2722">
        <v>-20000</v>
      </c>
      <c r="H2722">
        <v>-20000</v>
      </c>
      <c r="I2722">
        <v>-20000</v>
      </c>
    </row>
    <row r="2723" spans="1:9" x14ac:dyDescent="0.3">
      <c r="A2723" s="48" t="s">
        <v>54</v>
      </c>
      <c r="C2723">
        <v>-11000</v>
      </c>
      <c r="D2723">
        <v>3000</v>
      </c>
      <c r="E2723">
        <v>3000</v>
      </c>
      <c r="F2723">
        <v>23000</v>
      </c>
      <c r="G2723">
        <v>-21000</v>
      </c>
      <c r="H2723">
        <v>-21000</v>
      </c>
      <c r="I2723">
        <v>-21000</v>
      </c>
    </row>
    <row r="2724" spans="1:9" x14ac:dyDescent="0.3">
      <c r="A2724" s="48" t="s">
        <v>55</v>
      </c>
      <c r="C2724">
        <v>-10000</v>
      </c>
      <c r="D2724">
        <v>2000</v>
      </c>
      <c r="E2724">
        <v>2000</v>
      </c>
      <c r="F2724">
        <v>22000</v>
      </c>
      <c r="G2724">
        <v>-22000</v>
      </c>
      <c r="H2724">
        <v>-22000</v>
      </c>
      <c r="I2724">
        <v>-22000</v>
      </c>
    </row>
    <row r="2725" spans="1:9" x14ac:dyDescent="0.3">
      <c r="A2725" s="48" t="s">
        <v>56</v>
      </c>
      <c r="C2725">
        <v>-9000</v>
      </c>
      <c r="D2725">
        <v>1000</v>
      </c>
      <c r="E2725">
        <v>1000</v>
      </c>
      <c r="F2725">
        <v>21000</v>
      </c>
      <c r="G2725">
        <v>-23000</v>
      </c>
      <c r="H2725">
        <v>-23000</v>
      </c>
      <c r="I2725">
        <v>-23000</v>
      </c>
    </row>
    <row r="2726" spans="1:9" x14ac:dyDescent="0.3">
      <c r="A2726" s="48" t="s">
        <v>57</v>
      </c>
      <c r="C2726">
        <v>-8000</v>
      </c>
      <c r="D2726">
        <v>0</v>
      </c>
      <c r="E2726">
        <v>0</v>
      </c>
      <c r="F2726">
        <v>20000</v>
      </c>
      <c r="G2726">
        <v>-24000</v>
      </c>
      <c r="H2726">
        <v>-24000</v>
      </c>
      <c r="I2726">
        <v>-24000</v>
      </c>
    </row>
    <row r="2727" spans="1:9" x14ac:dyDescent="0.3">
      <c r="A2727" s="48" t="s">
        <v>58</v>
      </c>
      <c r="C2727">
        <v>-7000</v>
      </c>
      <c r="D2727">
        <v>-1000</v>
      </c>
      <c r="E2727">
        <v>-1000</v>
      </c>
      <c r="F2727">
        <v>19000</v>
      </c>
      <c r="G2727">
        <v>-25000</v>
      </c>
      <c r="H2727">
        <v>-25000</v>
      </c>
      <c r="I2727">
        <v>-25000</v>
      </c>
    </row>
    <row r="2728" spans="1:9" x14ac:dyDescent="0.3">
      <c r="A2728" s="15" t="s">
        <v>63</v>
      </c>
    </row>
    <row r="2729" spans="1:9" x14ac:dyDescent="0.3">
      <c r="A2729" s="48" t="s">
        <v>35</v>
      </c>
      <c r="C2729">
        <v>-17000</v>
      </c>
      <c r="D2729">
        <v>10000</v>
      </c>
      <c r="E2729">
        <v>7000</v>
      </c>
      <c r="F2729">
        <v>27000</v>
      </c>
      <c r="G2729">
        <v>-17000</v>
      </c>
      <c r="H2729">
        <v>-17000</v>
      </c>
      <c r="I2729">
        <v>-17000</v>
      </c>
    </row>
    <row r="2730" spans="1:9" x14ac:dyDescent="0.3">
      <c r="A2730" s="48" t="s">
        <v>41</v>
      </c>
      <c r="C2730">
        <v>-16000</v>
      </c>
      <c r="D2730">
        <v>9000</v>
      </c>
      <c r="E2730">
        <v>6000</v>
      </c>
      <c r="F2730">
        <v>26000</v>
      </c>
      <c r="G2730">
        <v>-18000</v>
      </c>
      <c r="H2730">
        <v>-18000</v>
      </c>
      <c r="I2730">
        <v>-18000</v>
      </c>
    </row>
    <row r="2731" spans="1:9" x14ac:dyDescent="0.3">
      <c r="A2731" s="48" t="s">
        <v>42</v>
      </c>
      <c r="C2731">
        <v>-15000</v>
      </c>
      <c r="D2731">
        <v>8000</v>
      </c>
      <c r="E2731">
        <v>5000</v>
      </c>
      <c r="F2731">
        <v>25000</v>
      </c>
      <c r="G2731">
        <v>-19000</v>
      </c>
      <c r="H2731">
        <v>-19000</v>
      </c>
      <c r="I2731">
        <v>-19000</v>
      </c>
    </row>
    <row r="2732" spans="1:9" x14ac:dyDescent="0.3">
      <c r="A2732" s="48" t="s">
        <v>43</v>
      </c>
      <c r="C2732">
        <v>-14000</v>
      </c>
      <c r="D2732">
        <v>7000</v>
      </c>
      <c r="E2732">
        <v>4000</v>
      </c>
      <c r="F2732">
        <v>24000</v>
      </c>
      <c r="G2732">
        <v>-20000</v>
      </c>
      <c r="H2732">
        <v>-20000</v>
      </c>
      <c r="I2732">
        <v>-20000</v>
      </c>
    </row>
    <row r="2733" spans="1:9" x14ac:dyDescent="0.3">
      <c r="A2733" s="48" t="s">
        <v>44</v>
      </c>
      <c r="C2733">
        <v>-13000</v>
      </c>
      <c r="D2733">
        <v>6000</v>
      </c>
      <c r="E2733">
        <v>3000</v>
      </c>
      <c r="F2733">
        <v>23000</v>
      </c>
      <c r="G2733">
        <v>-21000</v>
      </c>
      <c r="H2733">
        <v>-21000</v>
      </c>
      <c r="I2733">
        <v>-21000</v>
      </c>
    </row>
    <row r="2734" spans="1:9" x14ac:dyDescent="0.3">
      <c r="A2734" s="48" t="s">
        <v>54</v>
      </c>
      <c r="C2734">
        <v>-12000</v>
      </c>
      <c r="D2734">
        <v>5000</v>
      </c>
      <c r="E2734">
        <v>2000</v>
      </c>
      <c r="F2734">
        <v>22000</v>
      </c>
      <c r="G2734">
        <v>-22000</v>
      </c>
      <c r="H2734">
        <v>-22000</v>
      </c>
      <c r="I2734">
        <v>-22000</v>
      </c>
    </row>
    <row r="2735" spans="1:9" x14ac:dyDescent="0.3">
      <c r="A2735" s="48" t="s">
        <v>55</v>
      </c>
      <c r="C2735">
        <v>-11000</v>
      </c>
      <c r="D2735">
        <v>4000</v>
      </c>
      <c r="E2735">
        <v>1000</v>
      </c>
      <c r="F2735">
        <v>21000</v>
      </c>
      <c r="G2735">
        <v>-23000</v>
      </c>
      <c r="H2735">
        <v>-23000</v>
      </c>
      <c r="I2735">
        <v>-23000</v>
      </c>
    </row>
    <row r="2736" spans="1:9" x14ac:dyDescent="0.3">
      <c r="A2736" s="48" t="s">
        <v>56</v>
      </c>
      <c r="C2736">
        <v>-10000</v>
      </c>
      <c r="D2736">
        <v>3000</v>
      </c>
      <c r="E2736">
        <v>0</v>
      </c>
      <c r="F2736">
        <v>20000</v>
      </c>
      <c r="G2736">
        <v>-24000</v>
      </c>
      <c r="H2736">
        <v>-24000</v>
      </c>
      <c r="I2736">
        <v>-24000</v>
      </c>
    </row>
    <row r="2737" spans="1:9" x14ac:dyDescent="0.3">
      <c r="A2737" s="48" t="s">
        <v>57</v>
      </c>
      <c r="C2737">
        <v>-9000</v>
      </c>
      <c r="D2737">
        <v>2000</v>
      </c>
      <c r="E2737">
        <v>-1000</v>
      </c>
      <c r="F2737">
        <v>19000</v>
      </c>
      <c r="G2737">
        <v>-25000</v>
      </c>
      <c r="H2737">
        <v>-25000</v>
      </c>
      <c r="I2737">
        <v>-25000</v>
      </c>
    </row>
    <row r="2738" spans="1:9" x14ac:dyDescent="0.3">
      <c r="A2738" s="48" t="s">
        <v>58</v>
      </c>
      <c r="C2738">
        <v>-8000</v>
      </c>
      <c r="D2738">
        <v>1000</v>
      </c>
      <c r="E2738">
        <v>-2000</v>
      </c>
      <c r="F2738">
        <v>18000</v>
      </c>
      <c r="G2738">
        <v>-26000</v>
      </c>
      <c r="H2738">
        <v>-26000</v>
      </c>
      <c r="I2738">
        <v>-26000</v>
      </c>
    </row>
  </sheetData>
  <phoneticPr fontId="2" type="noConversion"/>
  <conditionalFormatting pivot="1" sqref="C12:I21 C22:I22 C23:I32 C33:I33 C34:I43 C44:I44 C45:I54 C55:I55 C56:I65 C66:I66 C67:I76 C77:I77 C78:I87 C88:I88 C89:I98 C99:I99 C100:I109 C110:I110 C111:I120 C121:I121 C122:I122 C123:I132 C133:I133 C134:I143 C144:I144 C145:I154 C155:I155 C156:I165 C166:I166 C167:I176 C177:I177 C178:I187 C188:I188 C189:I198 C199:I199 C200:I209 C210:I210 C211:I220 C221:I221 C222:I222 C223:I223 C224:I233 C234:I234 C235:I244 C245:I245 C246:I255 C256:I256 C257:I266 C267:I267 C268:I277 C278:I278 C279:I288 C289:I289 C290:I299 C300:I300 C301:I310 C311:I311 C312:I321 C322:I322 C323:I332 C333:I333 C334:I334 C335:I344 C345:I345 C346:I355 C356:I356 C357:I366 C367:I367 C368:I377 C378:I378 C379:I388 C389:I389 C390:I399 C400:I400 C401:I410 C411:I411 C412:I421 C422:I422 C423:I432 C433:I433 C434:I443 C444:I444 C445:I445 C446:I455 C456:I456 C457:I466 C467:I467 C468:I477 C478:I478 C479:I488 C489:I489 C490:I499 C500:I500 C501:I510 C511:I511 C512:I521 C522:I522 C523:I532 C533:I533 C534:I543 C544:I544 C545:I554 C555:I555 C556:I556 C557:I557 C558:I567 C568:I568 C569:I578 C579:I579 C580:I589 C590:I590 C591:I600 C601:I601 C602:I611 C612:I612 C613:I622 C623:I623 C624:I633 C634:I634 C635:I644 C645:I645 C646:I655 C656:I656 C657:I666 C667:I667 C668:I668 C669:I678 C679:I679 C680:I689 C690:I690 C691:I700 C701:I701 C702:I711 C712:I712 C713:I722 C723:I723 C724:I733 C734:I734 C735:I744 C745:I745 C746:I755 C756:I756 C757:I766 C767:I767 C768:I768 C769:I769 C770:I779 C780:I780 C781:I790 C791:I791 C792:I801 C802:I802 C803:I812 C813:I813 C814:I823 C824:I824 C825:I834 C835:I835 C836:I845 C846:I846 C847:I856 C857:I857 C858:I867 C868:I868 C869:I878 C879:I879 C880:I880 C881:I890 C891:I891 C892:I901 C902:I902 C903:I912 C913:I913 C914:I923 C924:I924 C925:I934 C935:I935 C936:I945 C946:I946 C947:I956 C957:I957 C958:I967 C968:I968 C969:I978 C979:I979 C980:I989 C990:I990 C991:I991 C992:I1001 C1002:I1002 C1003:I1012 C1013:I1013 C1014:I1023 C1024:I1024 C1025:I1034 C1035:I1035 C1036:I1045 C1046:I1046 C1047:I1056 C1057:I1057 C1058:I1067 C1068:I1068 C1069:I1078 C1079:I1079 C1080:I1089 C1090:I1090 C1091:I1100 C1101:I1101 C1102:I1102 C1103:I1103 C1104:I1113 C1114:I1114 C1115:I1124 C1125:I1125 C1126:I1135 C1136:I1136 C1137:I1146 C1147:I1147 C1148:I1157 C1158:I1158 C1159:I1168 C1169:I1169 C1170:I1179 C1180:I1180 C1181:I1190 C1191:I1191 C1192:I1201 C1202:I1202 C1203:I1212 C1213:I1213 C1214:I1214 C1215:I1224 C1225:I1225 C1226:I1235 C1236:I1236 C1237:I1246 C1247:I1247 C1248:I1257 C1258:I1258 C1259:I1268 C1269:I1269 C1270:I1279 C1280:I1280 C1281:I1290 C1291:I1291 C1292:I1301 C1302:I1302 C1303:I1312 C1313:I1313 C1314:I1314 C1315:I1315 C1316:I1325 C1326:I1326 C1327:I1336 C1337:I1337 C1338:I1347 C1348:I1348 C1349:I1358 C1359:I1359 C1360:I1369 C1370:I1370 C1371:I1380 C1381:I1381 C1382:I1391 C1392:I1392 C1393:I1402 C1403:I1403 C1404:I1413 C1414:I1414 C1415:I1424 C1425:I1425 C1426:I1426 C1427:I1436 C1437:I1437 C1438:I1447 C1448:I1448 C1449:I1458 C1459:I1459 C1460:I1469 C1470:I1470 C1471:I1480 C1481:I1481 C1482:I1491 C1492:I1492 C1493:I1502 C1503:I1503 C1504:I1513 C1514:I1514 C1515:I1524 C1525:I1525 C1526:I1535 C1536:I1536 C1537:I1537 C1538:I1547 C1548:I1548 C1549:I1558 C1559:I1559 C1560:I1569 C1570:I1570 C1571:I1580 C1581:I1581 C1582:I1591 C1592:I1592 C1593:I1602 C1603:I1603 C1604:I1613 C1614:I1614 C1615:I1624 C1625:I1625 C1626:I1635 C1636:I1636 C1637:I1646 C1647:I1647 C1648:I1648 C1649:I1649 C1650:I1659 C1660:I1660 C1661:I1670 C1671:I1671 C1672:I1681 C1682:I1682 C1683:I1692 C1693:I1693 C1694:I1703 C1704:I1704 C1705:I1714 C1715:I1715 C1716:I1725 C1726:I1726 C1727:I1736 C1737:I1737 C1738:I1747 C1748:I1748 C1749:I1758 C1759:I1759 C1760:I1760 C1761:I1770 C1771:I1771 C1772:I1781 C1782:I1782 C1783:I1792 C1793:I1793 C1794:I1803 C1804:I1804 C1805:I1814 C1815:I1815 C1816:I1825 C1826:I1826 C1827:I1836 C1837:I1837 C1838:I1847 C1848:I1848 C1849:I1858 C1859:I1859 C1860:I1860 C1861:I1861 C1862:I1871 C1872:I1872 C1873:I1882 C1883:I1883 C1884:I1893 C1894:I1894 C1895:I1904 C1905:I1905 C1906:I1915 C1916:I1916 C1917:I1926 C1927:I1927 C1928:I1937 C1938:I1938 C1939:I1948 C1949:I1949 C1950:I1959 C1960:I1960 C1961:I1970 C1971:I1971 C1972:I1972 C1973:I1982 C1983:I1983 C1984:I1993 C1994:I1994 C1995:I2004 C2005:I2005 C2006:I2015 C2016:I2016 C2017:I2026 C2027:I2027 C2028:I2037 C2038:I2038 C2039:I2048 C2049:I2049 C2050:I2059 C2060:I2060 C2061:I2070 C2071:I2071 C2072:I2081 C2082:I2082 C2083:I2083 C2084:I2093 C2094:I2094 C2095:I2104 C2105:I2105 C2106:I2115 C2116:I2116 C2117:I2126 C2127:I2127 C2128:I2137 C2138:I2138 C2139:I2148 C2149:I2149 C2150:I2159 C2160:I2160 C2161:I2170 C2171:I2171 C2172:I2181 C2182:I2182 C2183:I2192 C2193:I2193 C2194:I2194 C2195:I2195 C2196:I2205 C2206:I2206 C2207:I2216 C2217:I2217 C2218:I2227 C2228:I2228 C2229:I2238 C2239:I2239 C2240:I2249 C2250:I2250 C2251:I2260 C2261:I2261 C2262:I2271 C2272:I2272 C2273:I2282 C2283:I2283 C2284:I2293 C2294:I2294 C2295:I2304 C2305:I2305 C2306:I2306 C2307:I2316 C2317:I2317 C2318:I2327 C2328:I2328 C2329:I2338 C2339:I2339 C2340:I2349 C2350:I2350 C2351:I2360 C2361:I2361 C2362:I2371 C2372:I2372 C2373:I2382 C2383:I2383 C2384:I2393 C2394:I2394 C2395:I2404 C2405:I2405 C2406:I2406 C2407:I2407 C2408:I2417 C2418:I2418 C2419:I2428 C2429:I2429 C2430:I2439 C2440:I2440 C2441:I2450 C2451:I2451 C2452:I2461 C2462:I2462 C2463:I2472 C2473:I2473 C2474:I2483 C2484:I2484 C2485:I2494 C2495:I2495 C2496:I2505 C2506:I2506 C2507:I2516 C2517:I2517 C2518:I2518 C2519:I2528 C2529:I2529 C2530:I2539 C2540:I2540 C2541:I2550 C2551:I2551 C2552:I2561 C2562:I2562 C2563:I2572 C2573:I2573 C2574:I2583 C2584:I2584 C2585:I2594 C2595:I2595 C2596:I2605 C2606:I2606 C2607:I2616 C2617:I2617 C2618:I2627 C2628:I2628 C2629:I2629 C2630:I2639 C2640:I2640 C2641:I2650 C2651:I2651 C2652:I2661 C2662:I2662 C2663:I2672 C2673:I2673 C2674:I2683 C2684:I2684 C2685:I2694 C2695:I2695 C2696:I2705 C2706:I2706 C2707:I2716 C2717:I2717 C2718:I2727 C2728:I2728 C2729:I2738">
    <cfRule type="expression" dxfId="2" priority="1">
      <formula>C12&lt;0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E6F9A-3ABD-44CE-AD4C-BC97D39287F1}">
  <sheetPr codeName="Sheet3"/>
  <dimension ref="A2:Y97"/>
  <sheetViews>
    <sheetView tabSelected="1" workbookViewId="0">
      <selection activeCell="W24" sqref="W24"/>
    </sheetView>
  </sheetViews>
  <sheetFormatPr defaultRowHeight="16.5" x14ac:dyDescent="0.3"/>
  <cols>
    <col min="1" max="1" width="11.125" bestFit="1" customWidth="1"/>
    <col min="5" max="5" width="9.375" style="2" bestFit="1" customWidth="1"/>
    <col min="6" max="7" width="9" style="2"/>
    <col min="8" max="8" width="9.25" style="2" bestFit="1" customWidth="1"/>
    <col min="9" max="9" width="11" customWidth="1"/>
    <col min="10" max="10" width="10.75" bestFit="1" customWidth="1"/>
  </cols>
  <sheetData>
    <row r="2" spans="1:25" ht="17.25" thickBot="1" x14ac:dyDescent="0.35"/>
    <row r="3" spans="1:25" ht="17.25" thickTop="1" x14ac:dyDescent="0.3">
      <c r="A3" s="8" t="s">
        <v>17</v>
      </c>
      <c r="B3" s="16" t="s">
        <v>2</v>
      </c>
      <c r="C3" s="9" t="s">
        <v>1</v>
      </c>
      <c r="D3" s="34" t="s">
        <v>0</v>
      </c>
      <c r="E3" s="44" t="s">
        <v>6</v>
      </c>
      <c r="F3" s="38" t="s">
        <v>5</v>
      </c>
      <c r="G3" s="10" t="s">
        <v>3</v>
      </c>
      <c r="H3" s="10" t="s">
        <v>4</v>
      </c>
      <c r="I3" s="10" t="s">
        <v>8</v>
      </c>
      <c r="J3" s="11" t="s">
        <v>9</v>
      </c>
      <c r="M3" s="3">
        <v>0.72</v>
      </c>
      <c r="N3" s="3">
        <v>0.41</v>
      </c>
      <c r="O3" s="57">
        <v>0.48</v>
      </c>
      <c r="P3" s="57">
        <v>0.93</v>
      </c>
    </row>
    <row r="4" spans="1:25" x14ac:dyDescent="0.3">
      <c r="A4" s="17" t="s">
        <v>23</v>
      </c>
      <c r="B4" s="18">
        <v>40</v>
      </c>
      <c r="C4" s="19">
        <v>1</v>
      </c>
      <c r="D4" s="35">
        <f>C4/$C$11</f>
        <v>1.8518518518518517E-2</v>
      </c>
      <c r="E4" s="45"/>
      <c r="F4" s="39" t="str">
        <f t="shared" ref="F4:F10" si="0">IF(당첨=A4,"당첨", "")</f>
        <v/>
      </c>
      <c r="G4" s="26">
        <f>IF(LEN(F4)&gt;0,B4*E4, 0)</f>
        <v>0</v>
      </c>
      <c r="H4" s="26">
        <f>IF(LEN(F4)=0,E4, 0)</f>
        <v>0</v>
      </c>
      <c r="I4" s="19"/>
      <c r="J4" s="27">
        <f t="shared" ref="J4:J9" si="1">IF(LEN(E4)&gt;0,D4, 0)</f>
        <v>0</v>
      </c>
      <c r="L4">
        <v>40</v>
      </c>
      <c r="O4" s="2"/>
      <c r="P4" s="2"/>
      <c r="R4" t="s">
        <v>78</v>
      </c>
    </row>
    <row r="5" spans="1:25" x14ac:dyDescent="0.3">
      <c r="A5" s="20" t="s">
        <v>24</v>
      </c>
      <c r="B5" s="21">
        <v>40</v>
      </c>
      <c r="C5" s="22">
        <v>1</v>
      </c>
      <c r="D5" s="36">
        <f t="shared" ref="D5:D10" si="2">C5/$C$11</f>
        <v>1.8518518518518517E-2</v>
      </c>
      <c r="E5" s="46"/>
      <c r="F5" s="40" t="str">
        <f t="shared" si="0"/>
        <v/>
      </c>
      <c r="G5" s="28">
        <f t="shared" ref="G5:G10" si="3">IF(LEN(F5)&gt;0,B5*E5, 0)</f>
        <v>0</v>
      </c>
      <c r="H5" s="28">
        <f t="shared" ref="H5:H10" si="4">IF(LEN(F5)=0,E5, 0)</f>
        <v>0</v>
      </c>
      <c r="I5" s="22"/>
      <c r="J5" s="29">
        <f t="shared" si="1"/>
        <v>0</v>
      </c>
      <c r="L5">
        <v>40</v>
      </c>
      <c r="O5" s="2"/>
      <c r="P5" s="2"/>
      <c r="S5" t="s">
        <v>81</v>
      </c>
    </row>
    <row r="6" spans="1:25" x14ac:dyDescent="0.3">
      <c r="A6" s="20" t="s">
        <v>18</v>
      </c>
      <c r="B6" s="21">
        <v>20</v>
      </c>
      <c r="C6" s="22">
        <v>2</v>
      </c>
      <c r="D6" s="36">
        <f t="shared" si="2"/>
        <v>3.7037037037037035E-2</v>
      </c>
      <c r="E6" s="46"/>
      <c r="F6" s="40" t="str">
        <f t="shared" si="0"/>
        <v/>
      </c>
      <c r="G6" s="28">
        <f t="shared" si="3"/>
        <v>0</v>
      </c>
      <c r="H6" s="28">
        <f t="shared" si="4"/>
        <v>0</v>
      </c>
      <c r="I6" s="22"/>
      <c r="J6" s="29">
        <f t="shared" si="1"/>
        <v>0</v>
      </c>
      <c r="L6">
        <v>20</v>
      </c>
      <c r="O6" s="2"/>
      <c r="P6" s="2"/>
      <c r="S6" t="s">
        <v>82</v>
      </c>
    </row>
    <row r="7" spans="1:25" x14ac:dyDescent="0.3">
      <c r="A7" s="20" t="s">
        <v>19</v>
      </c>
      <c r="B7" s="21">
        <v>10</v>
      </c>
      <c r="C7" s="22">
        <v>4</v>
      </c>
      <c r="D7" s="36">
        <f t="shared" si="2"/>
        <v>7.407407407407407E-2</v>
      </c>
      <c r="E7" s="46"/>
      <c r="F7" s="40" t="str">
        <f t="shared" si="0"/>
        <v/>
      </c>
      <c r="G7" s="28">
        <f t="shared" si="3"/>
        <v>0</v>
      </c>
      <c r="H7" s="28">
        <f t="shared" si="4"/>
        <v>0</v>
      </c>
      <c r="I7" s="22"/>
      <c r="J7" s="29">
        <f t="shared" si="1"/>
        <v>0</v>
      </c>
      <c r="L7">
        <v>10</v>
      </c>
      <c r="O7" s="2" t="s">
        <v>64</v>
      </c>
      <c r="P7" s="2" t="s">
        <v>64</v>
      </c>
      <c r="R7" t="s">
        <v>79</v>
      </c>
    </row>
    <row r="8" spans="1:25" x14ac:dyDescent="0.3">
      <c r="A8" s="20" t="s">
        <v>20</v>
      </c>
      <c r="B8" s="21">
        <v>5</v>
      </c>
      <c r="C8" s="22">
        <v>7</v>
      </c>
      <c r="D8" s="36">
        <f t="shared" si="2"/>
        <v>0.12962962962962962</v>
      </c>
      <c r="E8" s="46"/>
      <c r="F8" s="40" t="str">
        <f t="shared" si="0"/>
        <v/>
      </c>
      <c r="G8" s="28">
        <f t="shared" si="3"/>
        <v>0</v>
      </c>
      <c r="H8" s="28">
        <f t="shared" si="4"/>
        <v>0</v>
      </c>
      <c r="I8" s="22"/>
      <c r="J8" s="29">
        <f t="shared" si="1"/>
        <v>0</v>
      </c>
      <c r="L8">
        <v>5</v>
      </c>
      <c r="N8" t="s">
        <v>64</v>
      </c>
      <c r="O8" s="2" t="s">
        <v>69</v>
      </c>
      <c r="P8" s="2" t="s">
        <v>64</v>
      </c>
      <c r="R8" t="s">
        <v>80</v>
      </c>
    </row>
    <row r="9" spans="1:25" x14ac:dyDescent="0.3">
      <c r="A9" s="20" t="s">
        <v>21</v>
      </c>
      <c r="B9" s="21">
        <v>2</v>
      </c>
      <c r="C9" s="22">
        <v>15</v>
      </c>
      <c r="D9" s="36">
        <f t="shared" si="2"/>
        <v>0.27777777777777779</v>
      </c>
      <c r="E9" s="46">
        <v>6000</v>
      </c>
      <c r="F9" s="40" t="str">
        <f t="shared" si="0"/>
        <v/>
      </c>
      <c r="G9" s="28">
        <f t="shared" si="3"/>
        <v>0</v>
      </c>
      <c r="H9" s="28">
        <f t="shared" si="4"/>
        <v>6000</v>
      </c>
      <c r="I9" s="22"/>
      <c r="J9" s="29">
        <f t="shared" si="1"/>
        <v>0.27777777777777779</v>
      </c>
      <c r="L9">
        <v>2</v>
      </c>
      <c r="M9" t="s">
        <v>64</v>
      </c>
      <c r="N9" t="s">
        <v>66</v>
      </c>
      <c r="O9" s="2" t="s">
        <v>70</v>
      </c>
      <c r="P9" s="2" t="s">
        <v>67</v>
      </c>
    </row>
    <row r="10" spans="1:25" ht="17.25" thickBot="1" x14ac:dyDescent="0.35">
      <c r="A10" s="23" t="s">
        <v>22</v>
      </c>
      <c r="B10" s="24">
        <v>1</v>
      </c>
      <c r="C10" s="25">
        <v>24</v>
      </c>
      <c r="D10" s="37">
        <f t="shared" si="2"/>
        <v>0.44444444444444442</v>
      </c>
      <c r="E10" s="47">
        <v>9000</v>
      </c>
      <c r="F10" s="43" t="str">
        <f t="shared" si="0"/>
        <v>당첨</v>
      </c>
      <c r="G10" s="30">
        <f t="shared" si="3"/>
        <v>9000</v>
      </c>
      <c r="H10" s="30">
        <f t="shared" si="4"/>
        <v>0</v>
      </c>
      <c r="I10" s="25"/>
      <c r="J10" s="31">
        <f>IF(LEN(E10)&gt;0,D10, 0)</f>
        <v>0.44444444444444442</v>
      </c>
      <c r="L10">
        <v>1</v>
      </c>
      <c r="M10" t="s">
        <v>65</v>
      </c>
      <c r="O10" s="2"/>
      <c r="P10" s="2" t="s">
        <v>68</v>
      </c>
      <c r="R10" t="s">
        <v>83</v>
      </c>
    </row>
    <row r="11" spans="1:25" ht="17.25" x14ac:dyDescent="0.3">
      <c r="C11" s="6">
        <f>SUM(C4:C10)</f>
        <v>54</v>
      </c>
      <c r="F11" s="41" t="s">
        <v>7</v>
      </c>
      <c r="G11" s="32">
        <f>SUM(G4:G10)</f>
        <v>9000</v>
      </c>
      <c r="H11" s="32">
        <f>SUM(H4:H10)</f>
        <v>6000</v>
      </c>
      <c r="I11" s="7">
        <f>G11-H11</f>
        <v>3000</v>
      </c>
      <c r="J11" s="33">
        <f>SUM(J4:J10)</f>
        <v>0.72222222222222221</v>
      </c>
      <c r="M11" t="s">
        <v>72</v>
      </c>
      <c r="N11" t="s">
        <v>71</v>
      </c>
      <c r="O11" s="2"/>
      <c r="P11" s="2"/>
    </row>
    <row r="12" spans="1:25" ht="17.25" thickBot="1" x14ac:dyDescent="0.35">
      <c r="I12" s="1"/>
    </row>
    <row r="13" spans="1:25" ht="18" thickTop="1" thickBot="1" x14ac:dyDescent="0.35">
      <c r="E13" t="s">
        <v>5</v>
      </c>
      <c r="F13" s="42" t="s">
        <v>85</v>
      </c>
    </row>
    <row r="14" spans="1:25" ht="17.25" thickTop="1" x14ac:dyDescent="0.3"/>
    <row r="15" spans="1:25" x14ac:dyDescent="0.3">
      <c r="B15" s="59"/>
      <c r="C15" s="59"/>
      <c r="D15" s="59"/>
      <c r="E15" s="62"/>
      <c r="F15" s="62"/>
      <c r="G15" s="62"/>
      <c r="H15" s="62"/>
      <c r="I15" s="59"/>
      <c r="J15" s="59"/>
      <c r="K15" s="59"/>
      <c r="N15" s="59"/>
      <c r="O15" s="59"/>
      <c r="P15" s="59"/>
      <c r="Q15" s="59"/>
      <c r="R15" s="59"/>
      <c r="S15" s="59"/>
      <c r="T15" s="59"/>
      <c r="U15" s="59"/>
      <c r="V15" s="59"/>
      <c r="W15" s="59"/>
    </row>
    <row r="16" spans="1:25" x14ac:dyDescent="0.3">
      <c r="B16" s="59" t="s">
        <v>115</v>
      </c>
      <c r="C16" s="59"/>
      <c r="D16" s="59"/>
      <c r="E16" s="62"/>
      <c r="F16" s="62"/>
      <c r="G16" s="62"/>
      <c r="H16" s="62"/>
      <c r="I16" s="59"/>
      <c r="J16" s="59"/>
      <c r="K16" s="59"/>
      <c r="L16" s="59"/>
      <c r="N16" s="59" t="s">
        <v>118</v>
      </c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</row>
    <row r="17" spans="1:25" x14ac:dyDescent="0.3">
      <c r="A17">
        <v>40</v>
      </c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59"/>
      <c r="M17">
        <v>40</v>
      </c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59"/>
      <c r="Y17" s="59"/>
    </row>
    <row r="18" spans="1:25" x14ac:dyDescent="0.3">
      <c r="A18">
        <v>40</v>
      </c>
      <c r="B18" s="58"/>
      <c r="C18" s="60"/>
      <c r="D18" s="60"/>
      <c r="E18" s="60"/>
      <c r="F18" s="60"/>
      <c r="G18" s="60"/>
      <c r="H18" s="60"/>
      <c r="I18" s="60"/>
      <c r="J18" s="60"/>
      <c r="K18" s="60"/>
      <c r="L18" s="59"/>
      <c r="M18">
        <v>40</v>
      </c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59"/>
      <c r="Y18" s="59"/>
    </row>
    <row r="19" spans="1:25" x14ac:dyDescent="0.3">
      <c r="A19">
        <v>20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59"/>
      <c r="M19">
        <v>20</v>
      </c>
      <c r="N19" s="60"/>
      <c r="O19" s="60"/>
      <c r="P19" s="60"/>
      <c r="Q19" s="58"/>
      <c r="R19" s="60"/>
      <c r="S19" s="60"/>
      <c r="T19" s="60"/>
      <c r="U19" s="60"/>
      <c r="V19" s="58"/>
      <c r="W19" s="60"/>
      <c r="X19" s="59"/>
      <c r="Y19" s="59"/>
    </row>
    <row r="20" spans="1:25" x14ac:dyDescent="0.3">
      <c r="A20">
        <v>10</v>
      </c>
      <c r="B20" s="60"/>
      <c r="C20" s="60" t="s">
        <v>117</v>
      </c>
      <c r="D20" s="58"/>
      <c r="E20" s="60"/>
      <c r="F20" s="60"/>
      <c r="G20" s="60"/>
      <c r="H20" s="60"/>
      <c r="I20" s="60"/>
      <c r="J20" s="60"/>
      <c r="K20" s="60"/>
      <c r="L20" s="59"/>
      <c r="M20">
        <v>10</v>
      </c>
      <c r="N20" s="60"/>
      <c r="O20" s="60"/>
      <c r="P20" s="58"/>
      <c r="Q20" s="60"/>
      <c r="R20" s="60"/>
      <c r="S20" s="60"/>
      <c r="T20" s="60"/>
      <c r="U20" s="60"/>
      <c r="V20" s="60"/>
      <c r="W20" s="60"/>
      <c r="X20" s="59"/>
      <c r="Y20" s="59"/>
    </row>
    <row r="21" spans="1:25" x14ac:dyDescent="0.3">
      <c r="A21">
        <v>5</v>
      </c>
      <c r="B21" s="60" t="s">
        <v>116</v>
      </c>
      <c r="C21" s="60"/>
      <c r="D21" s="60"/>
      <c r="E21" s="58" t="s">
        <v>117</v>
      </c>
      <c r="F21" s="60"/>
      <c r="G21" s="60"/>
      <c r="H21" s="60"/>
      <c r="I21" s="58"/>
      <c r="J21" s="60"/>
      <c r="K21" s="60"/>
      <c r="L21" s="59"/>
      <c r="M21">
        <v>5</v>
      </c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59"/>
      <c r="Y21" s="59"/>
    </row>
    <row r="22" spans="1:25" x14ac:dyDescent="0.3">
      <c r="A22">
        <v>2</v>
      </c>
      <c r="B22" s="60">
        <v>1000</v>
      </c>
      <c r="C22" s="60">
        <v>4000</v>
      </c>
      <c r="D22" s="60">
        <v>4000</v>
      </c>
      <c r="E22" s="60">
        <v>20000</v>
      </c>
      <c r="F22" s="58">
        <v>20000</v>
      </c>
      <c r="G22" s="58">
        <v>20000</v>
      </c>
      <c r="H22" s="60">
        <v>20000</v>
      </c>
      <c r="I22" s="60">
        <v>20000</v>
      </c>
      <c r="J22" s="60">
        <v>20000</v>
      </c>
      <c r="K22" s="60">
        <v>20000</v>
      </c>
      <c r="L22" s="59"/>
      <c r="M22">
        <v>2</v>
      </c>
      <c r="N22" s="58">
        <v>1000</v>
      </c>
      <c r="O22" s="60">
        <v>1000</v>
      </c>
      <c r="P22" s="60">
        <v>1000</v>
      </c>
      <c r="Q22" s="60">
        <v>4000</v>
      </c>
      <c r="R22" s="58">
        <v>20000</v>
      </c>
      <c r="S22" s="60">
        <v>4000</v>
      </c>
      <c r="T22" s="58">
        <v>4000</v>
      </c>
      <c r="U22" s="60">
        <v>1000</v>
      </c>
      <c r="V22" s="60">
        <v>1000</v>
      </c>
      <c r="W22" s="60">
        <v>6000</v>
      </c>
      <c r="X22" s="59"/>
      <c r="Y22" s="59"/>
    </row>
    <row r="23" spans="1:25" x14ac:dyDescent="0.3">
      <c r="A23">
        <v>1</v>
      </c>
      <c r="B23" s="60">
        <v>1000</v>
      </c>
      <c r="C23" s="58">
        <v>6000</v>
      </c>
      <c r="D23" s="60">
        <v>6000</v>
      </c>
      <c r="E23" s="60">
        <v>30000</v>
      </c>
      <c r="F23" s="60">
        <v>30000</v>
      </c>
      <c r="G23" s="60">
        <v>30000</v>
      </c>
      <c r="H23" s="58">
        <v>30000</v>
      </c>
      <c r="I23" s="60">
        <v>30000</v>
      </c>
      <c r="J23" s="58">
        <v>30000</v>
      </c>
      <c r="K23" s="58">
        <v>30000</v>
      </c>
      <c r="L23" s="59"/>
      <c r="M23">
        <v>1</v>
      </c>
      <c r="N23" s="60">
        <v>1000</v>
      </c>
      <c r="O23" s="58">
        <v>1000</v>
      </c>
      <c r="P23" s="60">
        <v>1000</v>
      </c>
      <c r="Q23" s="60">
        <v>6000</v>
      </c>
      <c r="R23" s="60">
        <v>30000</v>
      </c>
      <c r="S23" s="58">
        <v>6000</v>
      </c>
      <c r="T23" s="60">
        <v>6000</v>
      </c>
      <c r="U23" s="58">
        <v>2000</v>
      </c>
      <c r="V23" s="60">
        <v>2000</v>
      </c>
      <c r="W23" s="58">
        <v>9000</v>
      </c>
      <c r="X23" s="59"/>
      <c r="Y23" s="59"/>
    </row>
    <row r="24" spans="1:25" x14ac:dyDescent="0.3">
      <c r="A24">
        <f>SUM(B24:K24)</f>
        <v>-60000</v>
      </c>
      <c r="B24" s="59">
        <v>-2000</v>
      </c>
      <c r="C24" s="59">
        <v>2000</v>
      </c>
      <c r="D24" s="59">
        <v>-10000</v>
      </c>
      <c r="E24" s="59">
        <v>-50000</v>
      </c>
      <c r="F24" s="59">
        <v>10000</v>
      </c>
      <c r="G24" s="59">
        <v>10000</v>
      </c>
      <c r="H24" s="59">
        <v>10000</v>
      </c>
      <c r="I24" s="59">
        <v>-50000</v>
      </c>
      <c r="J24" s="59">
        <v>10000</v>
      </c>
      <c r="K24" s="59">
        <v>10000</v>
      </c>
      <c r="L24" s="59"/>
      <c r="M24">
        <f>SUM(N24:W24)</f>
        <v>4000</v>
      </c>
      <c r="N24" s="59">
        <v>1000</v>
      </c>
      <c r="O24" s="61">
        <v>0</v>
      </c>
      <c r="P24" s="61">
        <v>-2000</v>
      </c>
      <c r="Q24" s="61">
        <v>-10000</v>
      </c>
      <c r="R24" s="61">
        <v>10000</v>
      </c>
      <c r="S24" s="61">
        <v>2000</v>
      </c>
      <c r="T24" s="61">
        <v>2000</v>
      </c>
      <c r="U24" s="61">
        <v>1000</v>
      </c>
      <c r="V24" s="61">
        <v>-3000</v>
      </c>
      <c r="W24" s="61">
        <v>3000</v>
      </c>
      <c r="X24" s="59"/>
      <c r="Y24" s="59"/>
    </row>
    <row r="25" spans="1:25" x14ac:dyDescent="0.3">
      <c r="B25" s="65"/>
      <c r="C25" s="59"/>
      <c r="D25" s="59"/>
      <c r="E25" s="62"/>
      <c r="F25" s="62"/>
      <c r="G25" s="62"/>
      <c r="H25" s="62"/>
      <c r="I25" s="59"/>
      <c r="J25" s="59"/>
      <c r="K25" s="59"/>
      <c r="L25" s="59"/>
      <c r="N25" s="59"/>
      <c r="O25" s="59"/>
      <c r="P25" s="59"/>
      <c r="Q25" s="59"/>
      <c r="R25" s="59"/>
      <c r="S25" s="59"/>
      <c r="T25" s="59"/>
      <c r="U25" s="59"/>
      <c r="V25" s="59"/>
      <c r="W25" s="59"/>
    </row>
    <row r="26" spans="1:25" x14ac:dyDescent="0.3">
      <c r="B26" s="59" t="s">
        <v>107</v>
      </c>
      <c r="C26" s="59"/>
      <c r="D26" s="59"/>
      <c r="E26" s="62"/>
      <c r="F26" s="62"/>
      <c r="G26" s="62"/>
      <c r="H26" s="62"/>
      <c r="I26" s="59"/>
      <c r="J26" s="59"/>
      <c r="K26" s="59"/>
      <c r="L26" s="59"/>
      <c r="N26" s="59" t="s">
        <v>110</v>
      </c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</row>
    <row r="27" spans="1:25" x14ac:dyDescent="0.3">
      <c r="A27">
        <v>40</v>
      </c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59"/>
      <c r="M27">
        <v>40</v>
      </c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59"/>
      <c r="Y27" s="59"/>
    </row>
    <row r="28" spans="1:25" x14ac:dyDescent="0.3">
      <c r="A28">
        <v>40</v>
      </c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59"/>
      <c r="M28">
        <v>40</v>
      </c>
      <c r="N28" s="60"/>
      <c r="O28" s="60"/>
      <c r="P28" s="60"/>
      <c r="Q28" s="60"/>
      <c r="R28" s="60"/>
      <c r="S28" s="60" t="s">
        <v>114</v>
      </c>
      <c r="T28" s="60"/>
      <c r="U28" s="60"/>
      <c r="V28" s="60"/>
      <c r="W28" s="60"/>
      <c r="X28" s="59"/>
      <c r="Y28" s="59"/>
    </row>
    <row r="29" spans="1:25" x14ac:dyDescent="0.3">
      <c r="A29">
        <v>20</v>
      </c>
      <c r="B29" s="60"/>
      <c r="C29" s="60"/>
      <c r="D29" s="60"/>
      <c r="E29" s="60"/>
      <c r="F29" s="60"/>
      <c r="G29" s="60"/>
      <c r="H29" s="58"/>
      <c r="I29" s="60"/>
      <c r="J29" s="60"/>
      <c r="K29" s="60"/>
      <c r="L29" s="59"/>
      <c r="M29">
        <v>20</v>
      </c>
      <c r="N29" s="60"/>
      <c r="O29" s="60"/>
      <c r="P29" s="60"/>
      <c r="Q29" s="60"/>
      <c r="R29" s="60" t="s">
        <v>113</v>
      </c>
      <c r="S29" s="60"/>
      <c r="T29" s="60"/>
      <c r="U29" s="60"/>
      <c r="V29" s="60"/>
      <c r="W29" s="60"/>
      <c r="X29" s="59"/>
      <c r="Y29" s="59"/>
    </row>
    <row r="30" spans="1:25" x14ac:dyDescent="0.3">
      <c r="A30">
        <v>10</v>
      </c>
      <c r="B30" s="60"/>
      <c r="C30" s="60"/>
      <c r="D30" s="60"/>
      <c r="E30" s="58"/>
      <c r="F30" s="60"/>
      <c r="G30" s="58"/>
      <c r="H30" s="60"/>
      <c r="I30" s="60"/>
      <c r="J30" s="60"/>
      <c r="K30" s="60"/>
      <c r="L30" s="59"/>
      <c r="M30">
        <v>10</v>
      </c>
      <c r="N30" s="60"/>
      <c r="O30" s="60"/>
      <c r="P30" s="60"/>
      <c r="Q30" s="60" t="s">
        <v>112</v>
      </c>
      <c r="R30" s="60"/>
      <c r="S30" s="60"/>
      <c r="T30" s="60"/>
      <c r="U30" s="60"/>
      <c r="V30" s="60"/>
      <c r="W30" s="60"/>
      <c r="X30" s="59"/>
      <c r="Y30" s="59"/>
    </row>
    <row r="31" spans="1:25" x14ac:dyDescent="0.3">
      <c r="A31">
        <v>5</v>
      </c>
      <c r="B31" s="60" t="s">
        <v>108</v>
      </c>
      <c r="C31" s="60"/>
      <c r="D31" s="60"/>
      <c r="E31" s="60" t="s">
        <v>109</v>
      </c>
      <c r="F31" s="60"/>
      <c r="G31" s="60"/>
      <c r="H31" s="60"/>
      <c r="I31" s="58"/>
      <c r="J31" s="60"/>
      <c r="K31" s="60"/>
      <c r="L31" s="59"/>
      <c r="M31">
        <v>5</v>
      </c>
      <c r="N31" s="60"/>
      <c r="O31" s="60"/>
      <c r="P31" s="60" t="s">
        <v>111</v>
      </c>
      <c r="Q31" s="60"/>
      <c r="R31" s="60"/>
      <c r="S31" s="60"/>
      <c r="T31" s="60"/>
      <c r="U31" s="60"/>
      <c r="V31" s="60"/>
      <c r="W31" s="60"/>
      <c r="X31" s="59"/>
      <c r="Y31" s="59"/>
    </row>
    <row r="32" spans="1:25" x14ac:dyDescent="0.3">
      <c r="A32">
        <v>2</v>
      </c>
      <c r="B32" s="60">
        <v>1000</v>
      </c>
      <c r="C32" s="60">
        <v>1000</v>
      </c>
      <c r="D32" s="60">
        <v>1000</v>
      </c>
      <c r="E32" s="60">
        <v>0</v>
      </c>
      <c r="F32" s="58">
        <v>1000</v>
      </c>
      <c r="G32" s="60">
        <v>1000</v>
      </c>
      <c r="H32" s="60">
        <v>6000</v>
      </c>
      <c r="I32" s="60">
        <v>30000</v>
      </c>
      <c r="J32" s="60">
        <v>30000</v>
      </c>
      <c r="K32" s="60">
        <v>30000</v>
      </c>
      <c r="L32" s="59"/>
      <c r="M32">
        <v>2</v>
      </c>
      <c r="N32" s="60">
        <v>30000</v>
      </c>
      <c r="O32" s="58">
        <v>2000</v>
      </c>
      <c r="P32" s="58">
        <v>1000</v>
      </c>
      <c r="Q32" s="58">
        <v>1000</v>
      </c>
      <c r="R32" s="58"/>
      <c r="S32" s="58"/>
      <c r="T32" s="58"/>
      <c r="U32" s="60"/>
      <c r="V32" s="60"/>
      <c r="W32" s="60"/>
      <c r="X32" s="59"/>
      <c r="Y32" s="59"/>
    </row>
    <row r="33" spans="1:25" x14ac:dyDescent="0.3">
      <c r="A33">
        <v>1</v>
      </c>
      <c r="B33" s="58">
        <v>1000</v>
      </c>
      <c r="C33" s="58">
        <v>1000</v>
      </c>
      <c r="D33" s="58">
        <v>1000</v>
      </c>
      <c r="E33" s="60">
        <v>0</v>
      </c>
      <c r="F33" s="60">
        <v>1000</v>
      </c>
      <c r="G33" s="60">
        <v>2000</v>
      </c>
      <c r="H33" s="60">
        <v>9000</v>
      </c>
      <c r="I33" s="60">
        <v>45000</v>
      </c>
      <c r="J33" s="58">
        <v>45000</v>
      </c>
      <c r="K33" s="58">
        <v>45000</v>
      </c>
      <c r="L33" s="59"/>
      <c r="M33">
        <v>1</v>
      </c>
      <c r="N33" s="58">
        <v>45000</v>
      </c>
      <c r="O33" s="60">
        <v>3000</v>
      </c>
      <c r="P33" s="60">
        <v>1000</v>
      </c>
      <c r="Q33" s="60">
        <v>1000</v>
      </c>
      <c r="R33" s="60"/>
      <c r="S33" s="60"/>
      <c r="T33" s="60"/>
      <c r="U33" s="58"/>
      <c r="V33" s="58"/>
      <c r="W33" s="58"/>
      <c r="X33" s="59"/>
      <c r="Y33" s="59"/>
    </row>
    <row r="34" spans="1:25" x14ac:dyDescent="0.3">
      <c r="A34">
        <f>SUM(B34:K34)</f>
        <v>-62000</v>
      </c>
      <c r="B34" s="59">
        <v>0</v>
      </c>
      <c r="C34" s="59">
        <v>0</v>
      </c>
      <c r="D34" s="59">
        <v>0</v>
      </c>
      <c r="E34" s="59"/>
      <c r="F34" s="59">
        <v>1000</v>
      </c>
      <c r="G34" s="59">
        <v>-3000</v>
      </c>
      <c r="H34" s="59">
        <v>-15000</v>
      </c>
      <c r="I34" s="59">
        <v>-75000</v>
      </c>
      <c r="J34" s="59">
        <v>15000</v>
      </c>
      <c r="K34" s="59">
        <v>15000</v>
      </c>
      <c r="L34" s="59"/>
      <c r="M34">
        <f>SUM(N34:W34)</f>
        <v>18000</v>
      </c>
      <c r="N34" s="59">
        <v>15000</v>
      </c>
      <c r="O34" s="61">
        <v>1000</v>
      </c>
      <c r="P34" s="61">
        <v>1000</v>
      </c>
      <c r="Q34" s="61">
        <v>1000</v>
      </c>
      <c r="R34" s="61"/>
      <c r="S34" s="61"/>
      <c r="T34" s="61"/>
      <c r="U34" s="61"/>
      <c r="V34" s="61"/>
      <c r="W34" s="61"/>
      <c r="X34" s="59"/>
      <c r="Y34" s="59"/>
    </row>
    <row r="35" spans="1:25" x14ac:dyDescent="0.3">
      <c r="B35" s="65"/>
      <c r="C35" s="59"/>
      <c r="D35" s="59"/>
      <c r="E35" s="62"/>
      <c r="F35" s="62"/>
      <c r="G35" s="62"/>
      <c r="H35" s="62"/>
      <c r="I35" s="59"/>
      <c r="J35" s="59"/>
      <c r="K35" s="59"/>
      <c r="L35" s="59"/>
    </row>
    <row r="36" spans="1:25" x14ac:dyDescent="0.3">
      <c r="B36" s="59" t="s">
        <v>105</v>
      </c>
      <c r="C36" s="59"/>
      <c r="D36" s="59"/>
      <c r="E36" s="62"/>
      <c r="F36" s="62"/>
      <c r="G36" s="62"/>
      <c r="H36" s="62"/>
      <c r="I36" s="59"/>
      <c r="J36" s="59"/>
      <c r="K36" s="59"/>
      <c r="L36" s="59"/>
      <c r="N36" s="59" t="s">
        <v>106</v>
      </c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</row>
    <row r="37" spans="1:25" x14ac:dyDescent="0.3">
      <c r="A37">
        <v>40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59"/>
      <c r="M37">
        <v>40</v>
      </c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59"/>
      <c r="Y37" s="59"/>
    </row>
    <row r="38" spans="1:25" x14ac:dyDescent="0.3">
      <c r="A38">
        <v>40</v>
      </c>
      <c r="B38" s="60"/>
      <c r="C38" s="58"/>
      <c r="D38" s="60"/>
      <c r="E38" s="60"/>
      <c r="F38" s="60"/>
      <c r="G38" s="60"/>
      <c r="H38" s="60"/>
      <c r="I38" s="60"/>
      <c r="J38" s="60"/>
      <c r="K38" s="60"/>
      <c r="L38" s="59"/>
      <c r="M38">
        <v>40</v>
      </c>
      <c r="N38" s="60"/>
      <c r="O38" s="60"/>
      <c r="P38" s="60"/>
      <c r="Q38" s="60"/>
      <c r="R38" s="60"/>
      <c r="S38" s="60"/>
      <c r="T38" s="60"/>
      <c r="U38" s="58"/>
      <c r="V38" s="60"/>
      <c r="W38" s="60"/>
      <c r="X38" s="59"/>
      <c r="Y38" s="59"/>
    </row>
    <row r="39" spans="1:25" x14ac:dyDescent="0.3">
      <c r="A39">
        <v>20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59"/>
      <c r="M39">
        <v>20</v>
      </c>
      <c r="N39" s="60"/>
      <c r="O39" s="58"/>
      <c r="P39" s="60"/>
      <c r="Q39" s="60"/>
      <c r="R39" s="60"/>
      <c r="S39" s="60"/>
      <c r="T39" s="60"/>
      <c r="U39" s="60"/>
      <c r="V39" s="60"/>
      <c r="W39" s="60"/>
      <c r="X39" s="59"/>
      <c r="Y39" s="59"/>
    </row>
    <row r="40" spans="1:25" x14ac:dyDescent="0.3">
      <c r="A40">
        <v>10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59"/>
      <c r="M40">
        <v>10</v>
      </c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59"/>
      <c r="Y40" s="59"/>
    </row>
    <row r="41" spans="1:25" x14ac:dyDescent="0.3">
      <c r="A41">
        <v>5</v>
      </c>
      <c r="B41" s="60"/>
      <c r="C41" s="60"/>
      <c r="D41" s="60"/>
      <c r="E41" s="60"/>
      <c r="F41" s="60"/>
      <c r="G41" s="58" t="s">
        <v>101</v>
      </c>
      <c r="H41" s="60"/>
      <c r="I41" s="60"/>
      <c r="J41" s="60"/>
      <c r="K41" s="60" t="s">
        <v>101</v>
      </c>
      <c r="L41" s="59"/>
      <c r="M41">
        <v>5</v>
      </c>
      <c r="N41" s="58" t="s">
        <v>98</v>
      </c>
      <c r="O41" s="60"/>
      <c r="P41" s="60"/>
      <c r="Q41" s="60"/>
      <c r="R41" s="60"/>
      <c r="S41" s="60" t="s">
        <v>102</v>
      </c>
      <c r="T41" s="60"/>
      <c r="U41" s="60"/>
      <c r="V41" s="60"/>
      <c r="W41" s="60"/>
      <c r="X41" s="59"/>
      <c r="Y41" s="59"/>
    </row>
    <row r="42" spans="1:25" x14ac:dyDescent="0.3">
      <c r="A42">
        <v>2</v>
      </c>
      <c r="B42" s="60">
        <v>6000</v>
      </c>
      <c r="C42" s="60">
        <v>1000</v>
      </c>
      <c r="D42" s="60">
        <v>6000</v>
      </c>
      <c r="E42" s="60">
        <v>1000</v>
      </c>
      <c r="F42" s="60">
        <v>1000</v>
      </c>
      <c r="G42" s="60">
        <v>1000</v>
      </c>
      <c r="H42" s="60">
        <v>4000</v>
      </c>
      <c r="I42" s="60">
        <v>1000</v>
      </c>
      <c r="J42" s="58">
        <v>1000</v>
      </c>
      <c r="K42" s="60">
        <v>1000</v>
      </c>
      <c r="L42" s="59"/>
      <c r="M42">
        <v>2</v>
      </c>
      <c r="N42" s="60">
        <v>1000</v>
      </c>
      <c r="O42" s="60">
        <v>4000</v>
      </c>
      <c r="P42" s="60">
        <v>20000</v>
      </c>
      <c r="Q42" s="60">
        <v>4000</v>
      </c>
      <c r="R42" s="60">
        <v>1000</v>
      </c>
      <c r="S42" s="60">
        <v>1000</v>
      </c>
      <c r="T42" s="60">
        <v>1000</v>
      </c>
      <c r="U42" s="60">
        <v>1000</v>
      </c>
      <c r="V42" s="60">
        <v>4000</v>
      </c>
      <c r="W42" s="58">
        <v>2000</v>
      </c>
      <c r="X42" s="59"/>
      <c r="Y42" s="59"/>
    </row>
    <row r="43" spans="1:25" x14ac:dyDescent="0.3">
      <c r="A43">
        <v>1</v>
      </c>
      <c r="B43" s="58">
        <v>9000</v>
      </c>
      <c r="C43" s="60">
        <v>2000</v>
      </c>
      <c r="D43" s="58">
        <v>9000</v>
      </c>
      <c r="E43" s="58">
        <v>2000</v>
      </c>
      <c r="F43" s="58">
        <v>1000</v>
      </c>
      <c r="G43" s="60">
        <v>1000</v>
      </c>
      <c r="H43" s="58">
        <v>6000</v>
      </c>
      <c r="I43" s="58">
        <v>2000</v>
      </c>
      <c r="J43" s="60">
        <v>2000</v>
      </c>
      <c r="K43" s="58">
        <v>1000</v>
      </c>
      <c r="L43" s="59"/>
      <c r="M43">
        <v>1</v>
      </c>
      <c r="N43" s="60">
        <v>1000</v>
      </c>
      <c r="O43" s="60">
        <v>6000</v>
      </c>
      <c r="P43" s="58">
        <v>30000</v>
      </c>
      <c r="Q43" s="58">
        <v>6000</v>
      </c>
      <c r="R43" s="58">
        <v>1000</v>
      </c>
      <c r="S43" s="58">
        <v>1000</v>
      </c>
      <c r="T43" s="58">
        <v>1000</v>
      </c>
      <c r="U43" s="60">
        <v>1000</v>
      </c>
      <c r="V43" s="58">
        <v>6000</v>
      </c>
      <c r="W43" s="60">
        <v>2000</v>
      </c>
      <c r="X43" s="59"/>
      <c r="Y43" s="59"/>
    </row>
    <row r="44" spans="1:25" x14ac:dyDescent="0.3">
      <c r="A44">
        <f>SUM(B44:K44)</f>
        <v>5000</v>
      </c>
      <c r="B44" s="59">
        <v>3000</v>
      </c>
      <c r="C44" s="59">
        <v>-3000</v>
      </c>
      <c r="D44" s="59">
        <v>3000</v>
      </c>
      <c r="E44" s="59">
        <v>1000</v>
      </c>
      <c r="F44" s="59">
        <v>0</v>
      </c>
      <c r="G44" s="59">
        <v>-2000</v>
      </c>
      <c r="H44" s="59">
        <v>2000</v>
      </c>
      <c r="I44" s="59">
        <v>1000</v>
      </c>
      <c r="J44" s="59">
        <v>0</v>
      </c>
      <c r="K44" s="59">
        <v>0</v>
      </c>
      <c r="L44" s="59"/>
      <c r="M44">
        <f>SUM(N44:W44)</f>
        <v>2000</v>
      </c>
      <c r="N44" s="59">
        <v>-2000</v>
      </c>
      <c r="O44" s="61">
        <v>-10000</v>
      </c>
      <c r="P44" s="61">
        <v>10000</v>
      </c>
      <c r="Q44" s="61">
        <v>2000</v>
      </c>
      <c r="R44" s="61">
        <v>0</v>
      </c>
      <c r="S44" s="61">
        <v>0</v>
      </c>
      <c r="T44" s="61">
        <v>0</v>
      </c>
      <c r="U44" s="61">
        <v>-2000</v>
      </c>
      <c r="V44" s="61">
        <v>2000</v>
      </c>
      <c r="W44" s="61">
        <v>2000</v>
      </c>
      <c r="X44" s="59"/>
      <c r="Y44" s="59"/>
    </row>
    <row r="45" spans="1:25" x14ac:dyDescent="0.3">
      <c r="B45" s="65"/>
      <c r="C45" s="59"/>
      <c r="D45" s="59"/>
      <c r="E45" s="62"/>
      <c r="F45" s="62"/>
      <c r="G45" s="62"/>
      <c r="H45" s="62"/>
      <c r="I45" s="59"/>
      <c r="J45" s="59"/>
      <c r="K45" s="59"/>
      <c r="L45" s="59"/>
    </row>
    <row r="46" spans="1:25" x14ac:dyDescent="0.3">
      <c r="B46" s="59" t="s">
        <v>103</v>
      </c>
      <c r="C46" s="59"/>
      <c r="D46" s="59"/>
      <c r="E46" s="62"/>
      <c r="F46" s="62"/>
      <c r="G46" s="62"/>
      <c r="H46" s="62"/>
      <c r="I46" s="59"/>
      <c r="J46" s="59"/>
      <c r="K46" s="59"/>
      <c r="L46" s="59"/>
      <c r="N46" s="59" t="s">
        <v>104</v>
      </c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</row>
    <row r="47" spans="1:25" x14ac:dyDescent="0.3">
      <c r="A47">
        <v>40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59"/>
      <c r="M47">
        <v>40</v>
      </c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59"/>
      <c r="Y47" s="59"/>
    </row>
    <row r="48" spans="1:25" x14ac:dyDescent="0.3">
      <c r="A48">
        <v>40</v>
      </c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59"/>
      <c r="M48">
        <v>40</v>
      </c>
      <c r="N48" s="60"/>
      <c r="O48" s="60"/>
      <c r="P48" s="60"/>
      <c r="Q48" s="60"/>
      <c r="R48" s="60"/>
      <c r="S48" s="60"/>
      <c r="T48" s="60"/>
      <c r="U48" s="60"/>
      <c r="V48" s="60"/>
      <c r="W48" s="58"/>
      <c r="X48" s="59"/>
      <c r="Y48" s="59"/>
    </row>
    <row r="49" spans="1:25" x14ac:dyDescent="0.3">
      <c r="A49">
        <v>20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59"/>
      <c r="M49">
        <v>20</v>
      </c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59"/>
      <c r="Y49" s="59"/>
    </row>
    <row r="50" spans="1:25" x14ac:dyDescent="0.3">
      <c r="A50">
        <v>10</v>
      </c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59"/>
      <c r="M50">
        <v>10</v>
      </c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59"/>
      <c r="Y50" s="59"/>
    </row>
    <row r="51" spans="1:25" x14ac:dyDescent="0.3">
      <c r="A51">
        <v>5</v>
      </c>
      <c r="B51" s="58" t="s">
        <v>98</v>
      </c>
      <c r="C51" s="60"/>
      <c r="D51" s="60" t="s">
        <v>99</v>
      </c>
      <c r="E51" s="60" t="s">
        <v>99</v>
      </c>
      <c r="F51" s="58" t="s">
        <v>99</v>
      </c>
      <c r="G51" s="58"/>
      <c r="H51" s="60"/>
      <c r="I51" s="60"/>
      <c r="J51" s="60"/>
      <c r="K51" s="60"/>
      <c r="L51" s="59"/>
      <c r="M51">
        <v>5</v>
      </c>
      <c r="N51" s="60"/>
      <c r="O51" s="58"/>
      <c r="P51" s="60" t="s">
        <v>100</v>
      </c>
      <c r="Q51" s="58"/>
      <c r="R51" s="60"/>
      <c r="S51" s="60"/>
      <c r="T51" s="60"/>
      <c r="U51" s="58"/>
      <c r="V51" s="60"/>
      <c r="W51" s="60"/>
      <c r="X51" s="59"/>
      <c r="Y51" s="59"/>
    </row>
    <row r="52" spans="1:25" x14ac:dyDescent="0.3">
      <c r="A52">
        <v>2</v>
      </c>
      <c r="B52" s="60">
        <v>1000</v>
      </c>
      <c r="C52" s="58">
        <v>4000</v>
      </c>
      <c r="D52" s="58">
        <v>1000</v>
      </c>
      <c r="E52" s="58">
        <v>1000</v>
      </c>
      <c r="F52" s="58">
        <v>1000</v>
      </c>
      <c r="G52" s="60">
        <v>6000</v>
      </c>
      <c r="H52" s="58">
        <v>30000</v>
      </c>
      <c r="I52" s="60">
        <v>6000</v>
      </c>
      <c r="J52" s="60">
        <v>1000</v>
      </c>
      <c r="K52" s="60">
        <v>1000</v>
      </c>
      <c r="L52" s="59"/>
      <c r="M52">
        <v>2</v>
      </c>
      <c r="N52" s="58">
        <v>0</v>
      </c>
      <c r="O52" s="60">
        <v>1000</v>
      </c>
      <c r="P52" s="60">
        <v>4000</v>
      </c>
      <c r="Q52" s="60">
        <v>1000</v>
      </c>
      <c r="R52" s="60">
        <v>6000</v>
      </c>
      <c r="S52" s="58">
        <v>1000</v>
      </c>
      <c r="T52" s="60">
        <v>1000</v>
      </c>
      <c r="U52" s="60">
        <v>1000</v>
      </c>
      <c r="V52" s="60">
        <v>6000</v>
      </c>
      <c r="W52" s="60">
        <v>1000</v>
      </c>
      <c r="X52" s="59"/>
      <c r="Y52" s="59"/>
    </row>
    <row r="53" spans="1:25" x14ac:dyDescent="0.3">
      <c r="A53">
        <v>1</v>
      </c>
      <c r="B53" s="60">
        <v>1000</v>
      </c>
      <c r="C53" s="60">
        <v>6000</v>
      </c>
      <c r="D53" s="60">
        <v>2000</v>
      </c>
      <c r="E53" s="60">
        <v>2000</v>
      </c>
      <c r="F53" s="60">
        <v>2000</v>
      </c>
      <c r="G53" s="60">
        <v>9000</v>
      </c>
      <c r="H53" s="60">
        <v>45000</v>
      </c>
      <c r="I53" s="58">
        <v>9000</v>
      </c>
      <c r="J53" s="58">
        <v>1000</v>
      </c>
      <c r="K53" s="58">
        <v>1000</v>
      </c>
      <c r="L53" s="59"/>
      <c r="M53">
        <v>1</v>
      </c>
      <c r="N53" s="60">
        <v>0</v>
      </c>
      <c r="O53" s="60">
        <v>1000</v>
      </c>
      <c r="P53" s="58">
        <v>6000</v>
      </c>
      <c r="Q53" s="60">
        <v>2000</v>
      </c>
      <c r="R53" s="58">
        <v>9000</v>
      </c>
      <c r="S53" s="60">
        <v>2000</v>
      </c>
      <c r="T53" s="58">
        <v>2000</v>
      </c>
      <c r="U53" s="60">
        <v>2000</v>
      </c>
      <c r="V53" s="58">
        <v>9000</v>
      </c>
      <c r="W53" s="60">
        <v>2000</v>
      </c>
      <c r="X53" s="59"/>
      <c r="Y53" s="59"/>
    </row>
    <row r="54" spans="1:25" x14ac:dyDescent="0.3">
      <c r="A54">
        <f>SUM(B54:K54)</f>
        <v>0</v>
      </c>
      <c r="B54" s="59">
        <v>-2000</v>
      </c>
      <c r="C54" s="59">
        <v>2000</v>
      </c>
      <c r="D54" s="59">
        <v>0</v>
      </c>
      <c r="E54" s="59">
        <v>0</v>
      </c>
      <c r="F54" s="59">
        <v>-3000</v>
      </c>
      <c r="G54" s="59">
        <v>-15000</v>
      </c>
      <c r="H54" s="59">
        <v>15000</v>
      </c>
      <c r="I54" s="59">
        <v>3000</v>
      </c>
      <c r="J54" s="59">
        <v>0</v>
      </c>
      <c r="K54" s="59">
        <v>0</v>
      </c>
      <c r="L54" s="59"/>
      <c r="M54">
        <f>SUM(N54:W54)</f>
        <v>-2000</v>
      </c>
      <c r="N54" s="59"/>
      <c r="O54" s="61">
        <v>-2000</v>
      </c>
      <c r="P54" s="61">
        <v>2000</v>
      </c>
      <c r="Q54" s="61">
        <v>-3000</v>
      </c>
      <c r="R54" s="61">
        <v>3000</v>
      </c>
      <c r="S54" s="61">
        <v>0</v>
      </c>
      <c r="T54" s="61">
        <v>1000</v>
      </c>
      <c r="U54" s="61">
        <v>-3000</v>
      </c>
      <c r="V54" s="61">
        <v>3000</v>
      </c>
      <c r="W54" s="61">
        <v>-3000</v>
      </c>
      <c r="X54" s="59"/>
      <c r="Y54" s="59"/>
    </row>
    <row r="55" spans="1:25" x14ac:dyDescent="0.3">
      <c r="B55" s="65"/>
      <c r="C55" s="59"/>
      <c r="D55" s="59"/>
      <c r="E55" s="62"/>
      <c r="F55" s="62"/>
      <c r="G55" s="62"/>
      <c r="H55" s="62"/>
      <c r="I55" s="59"/>
      <c r="J55" s="59"/>
      <c r="K55" s="59"/>
      <c r="L55" s="59"/>
    </row>
    <row r="56" spans="1:25" x14ac:dyDescent="0.3">
      <c r="B56" s="59" t="s">
        <v>92</v>
      </c>
      <c r="C56" s="59"/>
      <c r="D56" s="59"/>
      <c r="E56" s="62"/>
      <c r="F56" s="62"/>
      <c r="G56" s="62"/>
      <c r="H56" s="62"/>
      <c r="I56" s="59"/>
      <c r="J56" s="59"/>
      <c r="K56" s="59"/>
      <c r="L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</row>
    <row r="57" spans="1:25" x14ac:dyDescent="0.3">
      <c r="A57">
        <v>40</v>
      </c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59"/>
      <c r="M57">
        <v>40</v>
      </c>
      <c r="N57" s="60"/>
      <c r="O57" s="60"/>
      <c r="P57" s="60"/>
      <c r="Q57" s="60"/>
      <c r="R57" s="60"/>
      <c r="S57" s="60"/>
      <c r="T57" s="60"/>
      <c r="U57" s="60" t="s">
        <v>97</v>
      </c>
      <c r="V57" s="60"/>
      <c r="W57" s="60"/>
      <c r="X57" s="59"/>
    </row>
    <row r="58" spans="1:25" x14ac:dyDescent="0.3">
      <c r="A58">
        <v>40</v>
      </c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59"/>
      <c r="M58">
        <v>40</v>
      </c>
      <c r="N58" s="60"/>
      <c r="O58" s="60"/>
      <c r="P58" s="60"/>
      <c r="Q58" s="60"/>
      <c r="R58" s="60"/>
      <c r="S58" s="60"/>
      <c r="T58" s="60" t="s">
        <v>96</v>
      </c>
      <c r="U58" s="60"/>
      <c r="V58" s="60"/>
      <c r="W58" s="60"/>
      <c r="X58" s="59"/>
    </row>
    <row r="59" spans="1:25" x14ac:dyDescent="0.3">
      <c r="A59">
        <v>20</v>
      </c>
      <c r="B59" s="60"/>
      <c r="C59" s="60"/>
      <c r="D59" s="60"/>
      <c r="E59" s="60"/>
      <c r="F59" s="60"/>
      <c r="G59" s="60"/>
      <c r="H59" s="60"/>
      <c r="I59" s="58"/>
      <c r="J59" s="60"/>
      <c r="K59" s="60"/>
      <c r="L59" s="59"/>
      <c r="M59">
        <v>20</v>
      </c>
      <c r="N59" s="60"/>
      <c r="O59" s="60"/>
      <c r="P59" s="60"/>
      <c r="Q59" s="60"/>
      <c r="R59" s="60"/>
      <c r="S59" s="60" t="s">
        <v>94</v>
      </c>
      <c r="T59" s="60"/>
      <c r="U59" s="60"/>
      <c r="V59" s="60"/>
      <c r="W59" s="60"/>
      <c r="X59" s="59"/>
    </row>
    <row r="60" spans="1:25" x14ac:dyDescent="0.3">
      <c r="A60">
        <v>10</v>
      </c>
      <c r="B60" s="60"/>
      <c r="C60" s="60"/>
      <c r="D60" s="58"/>
      <c r="E60" s="60"/>
      <c r="F60" s="60"/>
      <c r="G60" s="60"/>
      <c r="H60" s="60"/>
      <c r="I60" s="60"/>
      <c r="J60" s="60"/>
      <c r="K60" s="58"/>
      <c r="L60" s="59"/>
      <c r="M60">
        <v>10</v>
      </c>
      <c r="N60" s="60"/>
      <c r="O60" s="60"/>
      <c r="P60" s="60"/>
      <c r="Q60" s="60"/>
      <c r="R60" s="60" t="s">
        <v>95</v>
      </c>
      <c r="S60" s="60"/>
      <c r="T60" s="60"/>
      <c r="U60" s="60"/>
      <c r="V60" s="60"/>
      <c r="W60" s="60"/>
      <c r="X60" s="59"/>
    </row>
    <row r="61" spans="1:25" x14ac:dyDescent="0.3">
      <c r="A61">
        <v>5</v>
      </c>
      <c r="B61" s="60"/>
      <c r="C61" s="60"/>
      <c r="D61" s="60"/>
      <c r="E61" s="60"/>
      <c r="F61" s="60" t="s">
        <v>86</v>
      </c>
      <c r="G61" s="60"/>
      <c r="H61" s="60" t="s">
        <v>87</v>
      </c>
      <c r="I61" s="60" t="s">
        <v>87</v>
      </c>
      <c r="J61" s="60"/>
      <c r="K61" s="60" t="s">
        <v>88</v>
      </c>
      <c r="L61" s="59"/>
      <c r="M61">
        <v>5</v>
      </c>
      <c r="N61" s="60" t="s">
        <v>90</v>
      </c>
      <c r="O61" s="60" t="s">
        <v>91</v>
      </c>
      <c r="P61" s="60" t="s">
        <v>89</v>
      </c>
      <c r="Q61" s="58" t="s">
        <v>93</v>
      </c>
      <c r="R61" s="58"/>
      <c r="S61" s="60"/>
      <c r="T61" s="60"/>
      <c r="U61" s="60"/>
      <c r="V61" s="60"/>
      <c r="W61" s="58"/>
      <c r="X61" s="59"/>
    </row>
    <row r="62" spans="1:25" x14ac:dyDescent="0.3">
      <c r="A62">
        <v>2</v>
      </c>
      <c r="B62" s="60">
        <v>2000</v>
      </c>
      <c r="C62" s="60">
        <v>1000</v>
      </c>
      <c r="D62" s="60">
        <v>2000</v>
      </c>
      <c r="E62" s="60">
        <v>1000</v>
      </c>
      <c r="F62" s="58">
        <v>4000</v>
      </c>
      <c r="G62" s="60">
        <v>1000</v>
      </c>
      <c r="H62" s="58">
        <v>1000</v>
      </c>
      <c r="I62" s="60">
        <v>1000</v>
      </c>
      <c r="J62" s="58">
        <v>1000</v>
      </c>
      <c r="K62" s="60">
        <v>2000</v>
      </c>
      <c r="L62" s="59"/>
      <c r="M62">
        <v>2</v>
      </c>
      <c r="N62" s="58">
        <v>1000</v>
      </c>
      <c r="O62" s="60">
        <v>1000</v>
      </c>
      <c r="P62" s="60">
        <v>1000</v>
      </c>
      <c r="Q62" s="60"/>
      <c r="R62" s="60">
        <v>1000</v>
      </c>
      <c r="S62" s="60">
        <v>10000</v>
      </c>
      <c r="T62" s="60">
        <v>1000</v>
      </c>
      <c r="U62" s="60">
        <v>1000</v>
      </c>
      <c r="V62" s="60">
        <v>1000</v>
      </c>
      <c r="W62" s="60">
        <v>1000</v>
      </c>
      <c r="X62" s="59"/>
    </row>
    <row r="63" spans="1:25" x14ac:dyDescent="0.3">
      <c r="A63">
        <v>1</v>
      </c>
      <c r="B63" s="58">
        <v>3000</v>
      </c>
      <c r="C63" s="58">
        <v>2000</v>
      </c>
      <c r="D63" s="60">
        <v>3000</v>
      </c>
      <c r="E63" s="58">
        <v>2000</v>
      </c>
      <c r="F63" s="60">
        <v>6000</v>
      </c>
      <c r="G63" s="58">
        <v>2000</v>
      </c>
      <c r="H63" s="60">
        <v>1000</v>
      </c>
      <c r="I63" s="60">
        <v>1000</v>
      </c>
      <c r="J63" s="60">
        <v>1000</v>
      </c>
      <c r="K63" s="60">
        <v>3000</v>
      </c>
      <c r="L63" s="59"/>
      <c r="M63">
        <v>1</v>
      </c>
      <c r="N63" s="60">
        <v>2000</v>
      </c>
      <c r="O63" s="58">
        <v>2000</v>
      </c>
      <c r="P63" s="58">
        <v>1000</v>
      </c>
      <c r="Q63" s="60"/>
      <c r="R63" s="60">
        <v>2000</v>
      </c>
      <c r="S63" s="58">
        <v>15000</v>
      </c>
      <c r="T63" s="58">
        <v>1000</v>
      </c>
      <c r="U63" s="58">
        <v>1000</v>
      </c>
      <c r="V63" s="58">
        <v>1000</v>
      </c>
      <c r="W63" s="60">
        <v>1000</v>
      </c>
      <c r="X63" s="59"/>
    </row>
    <row r="64" spans="1:25" x14ac:dyDescent="0.3">
      <c r="A64">
        <f>SUM(B64:K64)</f>
        <v>-4000</v>
      </c>
      <c r="B64" s="59">
        <v>1000</v>
      </c>
      <c r="C64" s="59">
        <v>1000</v>
      </c>
      <c r="D64" s="59">
        <v>-5000</v>
      </c>
      <c r="E64" s="59">
        <v>1000</v>
      </c>
      <c r="F64" s="59">
        <v>2000</v>
      </c>
      <c r="G64" s="59">
        <v>1000</v>
      </c>
      <c r="H64" s="59">
        <v>1000</v>
      </c>
      <c r="I64" s="59">
        <v>-2000</v>
      </c>
      <c r="J64" s="59">
        <v>1000</v>
      </c>
      <c r="K64" s="59">
        <v>-5000</v>
      </c>
      <c r="L64" s="59"/>
      <c r="M64">
        <f>SUM(N64:W64)</f>
        <v>-1000</v>
      </c>
      <c r="N64" s="59">
        <v>0</v>
      </c>
      <c r="O64" s="61">
        <v>1000</v>
      </c>
      <c r="P64" s="61">
        <v>0</v>
      </c>
      <c r="Q64" s="61"/>
      <c r="R64" s="61">
        <v>-5000</v>
      </c>
      <c r="S64" s="61">
        <v>5000</v>
      </c>
      <c r="T64" s="61">
        <v>0</v>
      </c>
      <c r="U64" s="61">
        <v>0</v>
      </c>
      <c r="V64" s="61">
        <v>0</v>
      </c>
      <c r="W64" s="61">
        <v>-2000</v>
      </c>
      <c r="X64" s="59"/>
    </row>
    <row r="65" spans="1:24" x14ac:dyDescent="0.3">
      <c r="B65" s="65"/>
      <c r="C65" s="59"/>
      <c r="D65" s="59"/>
      <c r="E65" s="62"/>
      <c r="F65" s="62"/>
      <c r="G65" s="62"/>
      <c r="H65" s="62"/>
      <c r="I65" s="59"/>
      <c r="J65" s="59"/>
      <c r="K65" s="59"/>
      <c r="L65" s="59"/>
    </row>
    <row r="66" spans="1:24" x14ac:dyDescent="0.3">
      <c r="B66" s="59" t="s">
        <v>77</v>
      </c>
      <c r="C66" s="59"/>
      <c r="D66" s="59"/>
      <c r="E66" s="62"/>
      <c r="F66" s="62"/>
      <c r="G66" s="62"/>
      <c r="H66" s="62"/>
      <c r="I66" s="59"/>
      <c r="J66" s="59"/>
      <c r="K66" s="59"/>
      <c r="L66" s="59"/>
      <c r="N66" s="59" t="s">
        <v>84</v>
      </c>
      <c r="O66" s="59"/>
      <c r="P66" s="59"/>
      <c r="Q66" s="59"/>
      <c r="R66" s="59"/>
      <c r="S66" s="59"/>
      <c r="T66" s="59"/>
      <c r="U66" s="59"/>
      <c r="V66" s="59"/>
      <c r="W66" s="59"/>
      <c r="X66" s="59"/>
    </row>
    <row r="67" spans="1:24" x14ac:dyDescent="0.3">
      <c r="A67">
        <v>40</v>
      </c>
      <c r="B67" s="60"/>
      <c r="C67" s="60"/>
      <c r="D67" s="60"/>
      <c r="E67" s="60"/>
      <c r="F67" s="60"/>
      <c r="G67" s="60"/>
      <c r="H67" s="60"/>
      <c r="I67" s="60"/>
      <c r="J67" s="60"/>
      <c r="K67" s="60"/>
      <c r="L67" s="59"/>
      <c r="M67">
        <v>40</v>
      </c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59"/>
    </row>
    <row r="68" spans="1:24" x14ac:dyDescent="0.3">
      <c r="A68">
        <v>40</v>
      </c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59"/>
      <c r="M68">
        <v>40</v>
      </c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59"/>
    </row>
    <row r="69" spans="1:24" x14ac:dyDescent="0.3">
      <c r="A69">
        <v>20</v>
      </c>
      <c r="B69" s="60"/>
      <c r="C69" s="60"/>
      <c r="D69" s="60"/>
      <c r="E69" s="60"/>
      <c r="F69" s="60"/>
      <c r="G69" s="60"/>
      <c r="H69" s="60"/>
      <c r="I69" s="60"/>
      <c r="J69" s="60"/>
      <c r="K69" s="60"/>
      <c r="L69" s="59"/>
      <c r="M69">
        <v>20</v>
      </c>
      <c r="N69" s="58"/>
      <c r="O69" s="60"/>
      <c r="P69" s="60"/>
      <c r="Q69" s="60"/>
      <c r="R69" s="60"/>
      <c r="S69" s="60"/>
      <c r="T69" s="60"/>
      <c r="U69" s="60"/>
      <c r="V69" s="60"/>
      <c r="W69" s="60"/>
      <c r="X69" s="59"/>
    </row>
    <row r="70" spans="1:24" x14ac:dyDescent="0.3">
      <c r="A70">
        <v>10</v>
      </c>
      <c r="B70" s="60"/>
      <c r="C70" s="60"/>
      <c r="D70" s="60"/>
      <c r="E70" s="60"/>
      <c r="F70" s="60"/>
      <c r="G70" s="60"/>
      <c r="H70" s="60"/>
      <c r="I70" s="60"/>
      <c r="J70" s="58"/>
      <c r="K70" s="60"/>
      <c r="L70" s="59"/>
      <c r="M70">
        <v>10</v>
      </c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59"/>
    </row>
    <row r="71" spans="1:24" x14ac:dyDescent="0.3">
      <c r="A71">
        <v>5</v>
      </c>
      <c r="B71" s="60"/>
      <c r="C71" s="60"/>
      <c r="D71" s="60"/>
      <c r="E71" s="60"/>
      <c r="F71" s="60"/>
      <c r="G71" s="60"/>
      <c r="H71" s="58"/>
      <c r="I71" s="60"/>
      <c r="J71" s="60"/>
      <c r="K71" s="60"/>
      <c r="L71" s="59"/>
      <c r="M71">
        <v>5</v>
      </c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59"/>
    </row>
    <row r="72" spans="1:24" x14ac:dyDescent="0.3">
      <c r="A72">
        <v>2</v>
      </c>
      <c r="B72" s="60">
        <v>2000</v>
      </c>
      <c r="C72" s="60">
        <v>4000</v>
      </c>
      <c r="D72" s="60">
        <v>1000</v>
      </c>
      <c r="E72" s="58">
        <v>0</v>
      </c>
      <c r="F72" s="58">
        <v>0</v>
      </c>
      <c r="G72" s="60">
        <v>1000</v>
      </c>
      <c r="H72" s="60">
        <v>1000</v>
      </c>
      <c r="I72" s="64">
        <v>2000</v>
      </c>
      <c r="J72" s="60">
        <v>2000</v>
      </c>
      <c r="K72" s="64">
        <v>5000</v>
      </c>
      <c r="L72" s="59"/>
      <c r="M72">
        <v>2</v>
      </c>
      <c r="N72" s="60">
        <v>1000</v>
      </c>
      <c r="O72" s="60">
        <v>3000</v>
      </c>
      <c r="P72" s="60">
        <v>1000</v>
      </c>
      <c r="Q72" s="58">
        <v>2000</v>
      </c>
      <c r="R72" s="60">
        <v>1000</v>
      </c>
      <c r="S72" s="60">
        <v>1000</v>
      </c>
      <c r="T72" s="60">
        <v>1000</v>
      </c>
      <c r="U72" s="60">
        <v>1000</v>
      </c>
      <c r="V72" s="58">
        <v>1000</v>
      </c>
      <c r="W72" s="60">
        <v>1000</v>
      </c>
      <c r="X72" s="59"/>
    </row>
    <row r="73" spans="1:24" x14ac:dyDescent="0.3">
      <c r="A73">
        <v>1</v>
      </c>
      <c r="B73" s="58">
        <v>3000</v>
      </c>
      <c r="C73" s="58">
        <v>6000</v>
      </c>
      <c r="D73" s="58">
        <v>1000</v>
      </c>
      <c r="E73" s="60">
        <v>0</v>
      </c>
      <c r="F73" s="60">
        <v>0</v>
      </c>
      <c r="G73" s="58">
        <v>1000</v>
      </c>
      <c r="H73" s="60">
        <v>1000</v>
      </c>
      <c r="I73" s="58">
        <v>4000</v>
      </c>
      <c r="J73" s="60">
        <v>3000</v>
      </c>
      <c r="K73" s="58">
        <v>7000</v>
      </c>
      <c r="L73" s="59"/>
      <c r="M73">
        <v>1</v>
      </c>
      <c r="N73" s="60">
        <v>2000</v>
      </c>
      <c r="O73" s="60">
        <v>4000</v>
      </c>
      <c r="P73" s="58">
        <v>2000</v>
      </c>
      <c r="Q73" s="60">
        <v>3000</v>
      </c>
      <c r="R73" s="58">
        <v>1000</v>
      </c>
      <c r="S73" s="58">
        <v>1000</v>
      </c>
      <c r="T73" s="58">
        <v>1000</v>
      </c>
      <c r="U73" s="58">
        <v>1000</v>
      </c>
      <c r="V73" s="60">
        <v>1000</v>
      </c>
      <c r="W73" s="58">
        <v>1000</v>
      </c>
      <c r="X73" s="59"/>
    </row>
    <row r="74" spans="1:24" x14ac:dyDescent="0.3">
      <c r="A74">
        <f>SUM(B74:K74)</f>
        <v>0</v>
      </c>
      <c r="B74" s="59">
        <v>1000</v>
      </c>
      <c r="C74" s="59">
        <v>2000</v>
      </c>
      <c r="D74" s="59">
        <v>0</v>
      </c>
      <c r="E74" s="59">
        <v>0</v>
      </c>
      <c r="F74" s="59">
        <v>0</v>
      </c>
      <c r="G74" s="59">
        <v>0</v>
      </c>
      <c r="H74" s="63">
        <v>-2000</v>
      </c>
      <c r="I74" s="59">
        <v>2000</v>
      </c>
      <c r="J74" s="63">
        <v>-5000</v>
      </c>
      <c r="K74" s="59">
        <v>2000</v>
      </c>
      <c r="L74" s="59"/>
      <c r="M74">
        <f>SUM(N74:W74)</f>
        <v>1000</v>
      </c>
      <c r="N74" s="59">
        <v>-3000</v>
      </c>
      <c r="O74" s="61"/>
      <c r="P74" s="61">
        <v>1000</v>
      </c>
      <c r="Q74" s="61">
        <v>1000</v>
      </c>
      <c r="R74" s="61">
        <v>0</v>
      </c>
      <c r="S74" s="61">
        <v>0</v>
      </c>
      <c r="T74" s="61">
        <v>0</v>
      </c>
      <c r="U74" s="61">
        <v>0</v>
      </c>
      <c r="V74" s="61">
        <v>1000</v>
      </c>
      <c r="W74" s="61">
        <v>1000</v>
      </c>
      <c r="X74" s="59"/>
    </row>
    <row r="75" spans="1:24" x14ac:dyDescent="0.3">
      <c r="B75" s="65"/>
      <c r="C75" s="59"/>
      <c r="D75" s="59"/>
      <c r="E75" s="62"/>
      <c r="F75" s="62"/>
      <c r="G75" s="62"/>
      <c r="H75" s="62"/>
      <c r="I75" s="59"/>
      <c r="J75" s="59"/>
      <c r="K75" s="59"/>
      <c r="L75" s="59"/>
    </row>
    <row r="77" spans="1:24" x14ac:dyDescent="0.3">
      <c r="B77" t="s">
        <v>75</v>
      </c>
      <c r="N77" t="s">
        <v>73</v>
      </c>
    </row>
    <row r="78" spans="1:24" x14ac:dyDescent="0.3">
      <c r="A78">
        <v>40</v>
      </c>
      <c r="B78" s="5"/>
      <c r="C78" s="5"/>
      <c r="D78" s="5"/>
      <c r="E78" s="5"/>
      <c r="F78" s="5"/>
      <c r="G78" s="5"/>
      <c r="H78" s="5"/>
      <c r="I78" s="5"/>
      <c r="J78" s="5"/>
      <c r="K78" s="5"/>
      <c r="M78">
        <v>40</v>
      </c>
      <c r="N78" s="60"/>
      <c r="O78" s="60"/>
      <c r="P78" s="60"/>
      <c r="Q78" s="60"/>
      <c r="R78" s="60"/>
      <c r="S78" s="60"/>
      <c r="T78" s="60"/>
      <c r="U78" s="60"/>
      <c r="V78" s="60"/>
      <c r="W78" s="60"/>
    </row>
    <row r="79" spans="1:24" x14ac:dyDescent="0.3">
      <c r="A79">
        <v>40</v>
      </c>
      <c r="B79" s="5"/>
      <c r="C79" s="5"/>
      <c r="D79" s="5"/>
      <c r="E79" s="5"/>
      <c r="F79" s="5"/>
      <c r="G79" s="5"/>
      <c r="H79" s="5"/>
      <c r="I79" s="5"/>
      <c r="J79" s="5"/>
      <c r="K79" s="5"/>
      <c r="M79">
        <v>40</v>
      </c>
      <c r="N79" s="60"/>
      <c r="O79" s="60"/>
      <c r="P79" s="58"/>
      <c r="Q79" s="60"/>
      <c r="R79" s="60"/>
      <c r="S79" s="60"/>
      <c r="T79" s="60"/>
      <c r="U79" s="60"/>
      <c r="V79" s="60"/>
      <c r="W79" s="60"/>
    </row>
    <row r="80" spans="1:24" x14ac:dyDescent="0.3">
      <c r="A80">
        <v>20</v>
      </c>
      <c r="B80" s="60"/>
      <c r="C80" s="60"/>
      <c r="D80" s="60"/>
      <c r="E80" s="60"/>
      <c r="F80" s="60"/>
      <c r="G80" s="60"/>
      <c r="H80" s="58"/>
      <c r="I80" s="60"/>
      <c r="J80" s="60"/>
      <c r="K80" s="60"/>
      <c r="M80">
        <v>20</v>
      </c>
      <c r="N80" s="60"/>
      <c r="O80" s="60"/>
      <c r="P80" s="60"/>
      <c r="Q80" s="60"/>
      <c r="R80" s="60"/>
      <c r="S80" s="60"/>
      <c r="T80" s="60"/>
      <c r="U80" s="60"/>
      <c r="V80" s="58"/>
      <c r="W80" s="60"/>
    </row>
    <row r="81" spans="1:23" x14ac:dyDescent="0.3">
      <c r="A81">
        <v>10</v>
      </c>
      <c r="B81" s="60"/>
      <c r="C81" s="60"/>
      <c r="D81" s="60"/>
      <c r="E81" s="60"/>
      <c r="F81" s="58"/>
      <c r="G81" s="60"/>
      <c r="H81" s="60"/>
      <c r="I81" s="60"/>
      <c r="J81" s="60"/>
      <c r="K81" s="60"/>
      <c r="M81">
        <v>10</v>
      </c>
      <c r="N81" s="60"/>
      <c r="O81" s="60"/>
      <c r="P81" s="60"/>
      <c r="Q81" s="60"/>
      <c r="R81" s="60"/>
      <c r="S81" s="60"/>
      <c r="T81" s="60"/>
      <c r="U81" s="60"/>
      <c r="V81" s="60"/>
      <c r="W81" s="60"/>
    </row>
    <row r="82" spans="1:23" x14ac:dyDescent="0.3">
      <c r="A82">
        <v>5</v>
      </c>
      <c r="B82" s="60"/>
      <c r="C82" s="60"/>
      <c r="D82" s="58"/>
      <c r="E82" s="58"/>
      <c r="F82" s="60"/>
      <c r="G82" s="60"/>
      <c r="H82" s="60"/>
      <c r="I82" s="60"/>
      <c r="J82" s="60"/>
      <c r="K82" s="60"/>
      <c r="M82">
        <v>5</v>
      </c>
      <c r="N82" s="60"/>
      <c r="O82" s="60"/>
      <c r="P82" s="60"/>
      <c r="Q82" s="60"/>
      <c r="R82" s="58"/>
      <c r="S82" s="60"/>
      <c r="T82" s="60"/>
      <c r="U82" s="60"/>
      <c r="V82" s="60"/>
      <c r="W82" s="60"/>
    </row>
    <row r="83" spans="1:23" x14ac:dyDescent="0.3">
      <c r="A83">
        <v>2</v>
      </c>
      <c r="B83" s="60">
        <v>2000</v>
      </c>
      <c r="C83" s="60">
        <v>3000</v>
      </c>
      <c r="D83" s="60">
        <v>4000</v>
      </c>
      <c r="E83" s="60">
        <v>20000</v>
      </c>
      <c r="F83" s="60">
        <v>100000</v>
      </c>
      <c r="G83" s="58">
        <v>500000</v>
      </c>
      <c r="H83" s="60">
        <v>100000</v>
      </c>
      <c r="I83" s="60"/>
      <c r="J83" s="60"/>
      <c r="K83" s="60"/>
      <c r="M83">
        <v>2</v>
      </c>
      <c r="N83" s="60">
        <v>2000</v>
      </c>
      <c r="O83" s="60">
        <v>1000</v>
      </c>
      <c r="P83" s="60">
        <v>1000</v>
      </c>
      <c r="Q83" s="60">
        <v>4000</v>
      </c>
      <c r="R83" s="60">
        <v>2000</v>
      </c>
      <c r="S83" s="60">
        <v>10000</v>
      </c>
      <c r="T83" s="60">
        <v>2000</v>
      </c>
      <c r="U83" s="60">
        <v>2000</v>
      </c>
      <c r="V83" s="60">
        <v>2000</v>
      </c>
      <c r="W83" s="60">
        <v>10000</v>
      </c>
    </row>
    <row r="84" spans="1:23" x14ac:dyDescent="0.3">
      <c r="A84">
        <v>1</v>
      </c>
      <c r="B84" s="58">
        <v>3000</v>
      </c>
      <c r="C84" s="58">
        <v>4000</v>
      </c>
      <c r="D84" s="60">
        <v>6000</v>
      </c>
      <c r="E84" s="60">
        <v>30000</v>
      </c>
      <c r="F84" s="60">
        <v>150000</v>
      </c>
      <c r="G84" s="60">
        <v>750000</v>
      </c>
      <c r="H84" s="60">
        <v>150000</v>
      </c>
      <c r="I84" s="60"/>
      <c r="J84" s="60"/>
      <c r="K84" s="60"/>
      <c r="M84">
        <v>1</v>
      </c>
      <c r="N84" s="58">
        <v>3000</v>
      </c>
      <c r="O84" s="58">
        <v>1000</v>
      </c>
      <c r="P84" s="60">
        <v>1000</v>
      </c>
      <c r="Q84" s="58">
        <v>6000</v>
      </c>
      <c r="R84" s="60">
        <v>3000</v>
      </c>
      <c r="S84" s="58">
        <v>15000</v>
      </c>
      <c r="T84" s="58">
        <v>3000</v>
      </c>
      <c r="U84" s="58">
        <v>3000</v>
      </c>
      <c r="V84" s="60">
        <v>3000</v>
      </c>
      <c r="W84" s="58">
        <v>15000</v>
      </c>
    </row>
    <row r="85" spans="1:23" x14ac:dyDescent="0.3">
      <c r="A85">
        <f>SUM(B85:K85)</f>
        <v>-308000</v>
      </c>
      <c r="B85" s="59">
        <v>1000</v>
      </c>
      <c r="C85" s="59">
        <v>1000</v>
      </c>
      <c r="D85" s="59">
        <v>-10000</v>
      </c>
      <c r="E85" s="59">
        <v>-50000</v>
      </c>
      <c r="F85" s="59">
        <v>-250000</v>
      </c>
      <c r="G85" s="59">
        <v>250000</v>
      </c>
      <c r="H85" s="59">
        <v>-250000</v>
      </c>
      <c r="I85" s="59"/>
      <c r="J85" s="59"/>
      <c r="K85" s="59"/>
      <c r="M85">
        <f>SUM(N85:W85)</f>
        <v>3000</v>
      </c>
      <c r="N85">
        <v>1000</v>
      </c>
      <c r="O85" s="61">
        <v>0</v>
      </c>
      <c r="P85" s="61">
        <v>-2000</v>
      </c>
      <c r="Q85" s="61">
        <v>2000</v>
      </c>
      <c r="R85" s="61">
        <v>-5000</v>
      </c>
      <c r="S85" s="61">
        <v>5000</v>
      </c>
      <c r="T85" s="61">
        <v>1000</v>
      </c>
      <c r="U85" s="61">
        <v>1000</v>
      </c>
      <c r="V85" s="61">
        <v>-5000</v>
      </c>
      <c r="W85" s="61">
        <v>5000</v>
      </c>
    </row>
    <row r="86" spans="1:23" x14ac:dyDescent="0.3">
      <c r="E86"/>
      <c r="F86"/>
      <c r="G86"/>
      <c r="H86"/>
    </row>
    <row r="87" spans="1:23" x14ac:dyDescent="0.3">
      <c r="B87" t="s">
        <v>76</v>
      </c>
      <c r="E87"/>
      <c r="F87"/>
      <c r="G87"/>
      <c r="H87"/>
      <c r="N87" t="s">
        <v>74</v>
      </c>
    </row>
    <row r="88" spans="1:23" x14ac:dyDescent="0.3">
      <c r="A88">
        <v>40</v>
      </c>
      <c r="B88" s="5"/>
      <c r="C88" s="5"/>
      <c r="D88" s="5"/>
      <c r="E88" s="5"/>
      <c r="F88" s="5"/>
      <c r="G88" s="5"/>
      <c r="H88" s="5"/>
      <c r="I88" s="5"/>
      <c r="J88" s="5"/>
      <c r="K88" s="5"/>
      <c r="M88">
        <v>40</v>
      </c>
      <c r="N88" s="60"/>
      <c r="O88" s="60"/>
      <c r="P88" s="60"/>
      <c r="Q88" s="60"/>
      <c r="R88" s="60"/>
      <c r="S88" s="60"/>
      <c r="T88" s="60"/>
      <c r="U88" s="60"/>
      <c r="V88" s="60"/>
      <c r="W88" s="60"/>
    </row>
    <row r="89" spans="1:23" x14ac:dyDescent="0.3">
      <c r="A89">
        <v>40</v>
      </c>
      <c r="B89" s="5"/>
      <c r="C89" s="5"/>
      <c r="D89" s="5"/>
      <c r="E89" s="5"/>
      <c r="F89" s="5"/>
      <c r="G89" s="5"/>
      <c r="H89" s="5"/>
      <c r="I89" s="5"/>
      <c r="J89" s="5"/>
      <c r="K89" s="5"/>
      <c r="M89">
        <v>40</v>
      </c>
      <c r="N89" s="60"/>
      <c r="O89" s="60"/>
      <c r="P89" s="60"/>
      <c r="Q89" s="60"/>
      <c r="R89" s="60"/>
      <c r="S89" s="60"/>
      <c r="T89" s="60"/>
      <c r="U89" s="60"/>
      <c r="V89" s="60"/>
      <c r="W89" s="60"/>
    </row>
    <row r="90" spans="1:23" x14ac:dyDescent="0.3">
      <c r="A90">
        <v>20</v>
      </c>
      <c r="B90" s="60"/>
      <c r="C90" s="60"/>
      <c r="D90" s="60"/>
      <c r="E90" s="58"/>
      <c r="F90" s="60"/>
      <c r="G90" s="60"/>
      <c r="H90" s="60"/>
      <c r="I90" s="60"/>
      <c r="J90" s="60"/>
      <c r="K90" s="60"/>
      <c r="M90">
        <v>20</v>
      </c>
      <c r="N90" s="60"/>
      <c r="O90" s="60"/>
      <c r="P90" s="60"/>
      <c r="Q90" s="60"/>
      <c r="R90" s="60"/>
      <c r="S90" s="60"/>
      <c r="T90" s="60"/>
      <c r="U90" s="58"/>
      <c r="V90" s="60"/>
      <c r="W90" s="60"/>
    </row>
    <row r="91" spans="1:23" x14ac:dyDescent="0.3">
      <c r="A91">
        <v>10</v>
      </c>
      <c r="B91" s="60"/>
      <c r="C91" s="60"/>
      <c r="D91" s="58"/>
      <c r="E91" s="60"/>
      <c r="F91" s="58"/>
      <c r="G91" s="60"/>
      <c r="H91" s="60"/>
      <c r="I91" s="60"/>
      <c r="J91" s="60"/>
      <c r="K91" s="58"/>
      <c r="M91">
        <v>10</v>
      </c>
      <c r="N91" s="60"/>
      <c r="O91" s="60"/>
      <c r="P91" s="60"/>
      <c r="Q91" s="60"/>
      <c r="R91" s="60"/>
      <c r="S91" s="60"/>
      <c r="T91" s="60"/>
      <c r="U91" s="60"/>
      <c r="V91" s="60"/>
      <c r="W91" s="60"/>
    </row>
    <row r="92" spans="1:23" x14ac:dyDescent="0.3">
      <c r="A92">
        <v>5</v>
      </c>
      <c r="B92" s="60"/>
      <c r="C92" s="60"/>
      <c r="D92" s="60"/>
      <c r="E92" s="60"/>
      <c r="F92" s="60"/>
      <c r="G92" s="60"/>
      <c r="H92" s="60"/>
      <c r="I92" s="60"/>
      <c r="J92" s="58"/>
      <c r="K92" s="60"/>
      <c r="M92">
        <v>5</v>
      </c>
      <c r="N92" s="60"/>
      <c r="O92" s="58"/>
      <c r="P92" s="60"/>
      <c r="Q92" s="60"/>
      <c r="R92" s="60"/>
      <c r="S92" s="60"/>
      <c r="T92" s="58"/>
      <c r="U92" s="60"/>
      <c r="V92" s="60"/>
      <c r="W92" s="58"/>
    </row>
    <row r="93" spans="1:23" x14ac:dyDescent="0.3">
      <c r="A93">
        <v>2</v>
      </c>
      <c r="B93" s="60">
        <v>2000</v>
      </c>
      <c r="C93" s="58">
        <v>4000</v>
      </c>
      <c r="D93" s="60">
        <v>2000</v>
      </c>
      <c r="E93" s="60">
        <v>2000</v>
      </c>
      <c r="F93" s="60">
        <v>2000</v>
      </c>
      <c r="G93" s="60">
        <v>2000</v>
      </c>
      <c r="H93" s="60">
        <v>4000</v>
      </c>
      <c r="I93" s="58">
        <v>6000</v>
      </c>
      <c r="J93" s="60">
        <v>2000</v>
      </c>
      <c r="K93" s="60">
        <v>2000</v>
      </c>
      <c r="M93">
        <v>2</v>
      </c>
      <c r="N93" s="58">
        <v>2000</v>
      </c>
      <c r="O93" s="60">
        <v>2000</v>
      </c>
      <c r="P93" s="58">
        <v>10000</v>
      </c>
      <c r="Q93" s="58">
        <v>2000</v>
      </c>
      <c r="R93" s="58">
        <v>2000</v>
      </c>
      <c r="S93" s="58">
        <v>2000</v>
      </c>
      <c r="T93" s="60">
        <v>2000</v>
      </c>
      <c r="U93" s="60">
        <v>10000</v>
      </c>
      <c r="V93" s="58">
        <v>60000</v>
      </c>
      <c r="W93" s="60">
        <v>2000</v>
      </c>
    </row>
    <row r="94" spans="1:23" x14ac:dyDescent="0.3">
      <c r="A94">
        <v>1</v>
      </c>
      <c r="B94" s="58">
        <v>3000</v>
      </c>
      <c r="C94" s="60">
        <v>6000</v>
      </c>
      <c r="D94" s="60">
        <v>3000</v>
      </c>
      <c r="E94" s="60">
        <v>3000</v>
      </c>
      <c r="F94" s="60">
        <v>3000</v>
      </c>
      <c r="G94" s="58">
        <v>3000</v>
      </c>
      <c r="H94" s="58">
        <v>6000</v>
      </c>
      <c r="I94" s="60">
        <v>9000</v>
      </c>
      <c r="J94" s="60">
        <v>3000</v>
      </c>
      <c r="K94" s="60">
        <v>3000</v>
      </c>
      <c r="M94">
        <v>1</v>
      </c>
      <c r="N94" s="60">
        <v>3000</v>
      </c>
      <c r="O94" s="60">
        <v>3000</v>
      </c>
      <c r="P94" s="60">
        <v>15000</v>
      </c>
      <c r="Q94" s="60">
        <v>3000</v>
      </c>
      <c r="R94" s="60">
        <v>3000</v>
      </c>
      <c r="S94" s="60">
        <v>3000</v>
      </c>
      <c r="T94" s="60">
        <v>3000</v>
      </c>
      <c r="U94" s="60">
        <v>15000</v>
      </c>
      <c r="V94" s="60">
        <v>90000</v>
      </c>
      <c r="W94" s="60">
        <v>3000</v>
      </c>
    </row>
    <row r="95" spans="1:23" x14ac:dyDescent="0.3">
      <c r="A95">
        <f>SUM(B95:K95)</f>
        <v>-16000</v>
      </c>
      <c r="B95" s="59">
        <v>1000</v>
      </c>
      <c r="C95" s="59">
        <v>2000</v>
      </c>
      <c r="D95" s="59">
        <v>-5000</v>
      </c>
      <c r="E95" s="59">
        <v>-5000</v>
      </c>
      <c r="F95" s="59">
        <v>-5000</v>
      </c>
      <c r="G95" s="59">
        <v>1000</v>
      </c>
      <c r="H95" s="59">
        <v>2000</v>
      </c>
      <c r="I95" s="59">
        <v>3000</v>
      </c>
      <c r="J95" s="59">
        <v>-5000</v>
      </c>
      <c r="K95" s="59">
        <v>-5000</v>
      </c>
      <c r="M95">
        <f>SUM(N95:W95)</f>
        <v>-1000</v>
      </c>
      <c r="N95" s="59">
        <v>1000</v>
      </c>
      <c r="O95" s="61">
        <v>-5000</v>
      </c>
      <c r="P95" s="61">
        <v>5000</v>
      </c>
      <c r="Q95" s="61">
        <v>1000</v>
      </c>
      <c r="R95" s="61">
        <v>1000</v>
      </c>
      <c r="S95" s="61">
        <v>1000</v>
      </c>
      <c r="T95" s="61">
        <v>-5000</v>
      </c>
      <c r="U95" s="61">
        <v>-25000</v>
      </c>
      <c r="V95" s="61">
        <v>30000</v>
      </c>
      <c r="W95" s="61">
        <v>-5000</v>
      </c>
    </row>
    <row r="96" spans="1:23" x14ac:dyDescent="0.3">
      <c r="E96"/>
      <c r="F96"/>
      <c r="G96"/>
      <c r="H96"/>
    </row>
    <row r="97" spans="5:8" x14ac:dyDescent="0.3">
      <c r="E97"/>
      <c r="F97"/>
      <c r="G97"/>
      <c r="H97"/>
    </row>
  </sheetData>
  <scenarios current="36" show="0" sqref="I11">
    <scenario name="05배_1000" locked="1" count="1" user="dh.han" comment="만든 사람 dh.han 날짜 2024-03-28_x000a_수정한 사람 dh.han 날짜 2024-03-28">
      <inputCells r="E8" val="1000" numFmtId="41"/>
    </scenario>
    <scenario name="05배_2000" locked="1" count="1" user="dh.han" comment="만든 사람 dh.han 날짜 2024-03-28_x000a_수정한 사람 dh.han 날짜 2024-03-28">
      <inputCells r="E8" val="2000" numFmtId="41"/>
    </scenario>
    <scenario name="05배_3000" locked="1" count="1" user="dh.han" comment="만든 사람 dh.han 날짜 2024-03-28_x000a_수정한 사람 dh.han 날짜 2024-03-28">
      <inputCells r="E8" val="3000" numFmtId="41"/>
    </scenario>
    <scenario name="05배_4000" locked="1" count="1" user="dh.han" comment="만든 사람 dh.han 날짜 2024-03-28_x000a_수정한 사람 dh.han 날짜 2024-03-28">
      <inputCells r="E8" val="4000" numFmtId="41"/>
    </scenario>
    <scenario name="02배_1000" locked="1" count="1" user="dh.han" comment="만든 사람 dh.han 날짜 2024-03-28_x000a_수정한 사람 dh.han 날짜 2024-03-28">
      <inputCells r="E9" val="1000" numFmtId="41"/>
    </scenario>
    <scenario name="02배_2000" locked="1" count="1" user="dh.han" comment="만든 사람 dh.han 날짜 2024-03-28_x000a_수정한 사람 dh.han 날짜 2024-03-28">
      <inputCells r="E9" val="2000" numFmtId="41"/>
    </scenario>
    <scenario name="02배_3000" locked="1" count="1" user="dh.han" comment="만든 사람 dh.han 날짜 2024-03-28_x000a_수정한 사람 dh.han 날짜 2024-03-28">
      <inputCells r="E9" val="3000" numFmtId="41"/>
    </scenario>
    <scenario name="02배_4000" locked="1" count="1" user="dh.han" comment="만든 사람 dh.han 날짜 2024-03-28_x000a_수정한 사람 dh.han 날짜 2024-03-28">
      <inputCells r="E9" val="4000" numFmtId="41"/>
    </scenario>
    <scenario name="01배_1000" locked="1" count="1" user="dh.han" comment="만든 사람 dh.han 날짜 2024-03-28_x000a_수정한 사람 dh.han 날짜 2024-03-28">
      <inputCells r="E10" val="1000" numFmtId="41"/>
    </scenario>
    <scenario name="01배_2000" locked="1" count="1" user="dh.han" comment="만든 사람 dh.han 날짜 2024-03-28_x000a_수정한 사람 dh.han 날짜 2024-03-28">
      <inputCells r="E10" val="2000" numFmtId="41"/>
    </scenario>
    <scenario name="01배_3000" locked="1" count="1" user="dh.han" comment="만든 사람 dh.han 날짜 2024-03-28_x000a_수정한 사람 dh.han 날짜 2024-03-28">
      <inputCells r="E10" val="3000" numFmtId="41"/>
    </scenario>
    <scenario name="01배_4000" locked="1" count="1" user="dh.han" comment="만든 사람 dh.han 날짜 2024-03-28_x000a_수정한 사람 dh.han 날짜 2024-03-28">
      <inputCells r="E10" val="4000" numFmtId="41"/>
    </scenario>
    <scenario name="05배_0" locked="1" count="1" user="dh.han" comment="만든 사람 dh.han 날짜 2024-03-28_x000a_수정한 사람 dh.han 날짜 2024-03-28">
      <inputCells r="E8" val="0" numFmtId="41"/>
    </scenario>
    <scenario name="02배_0" locked="1" count="1" user="dh.han" comment="만든 사람 dh.han 날짜 2024-03-28_x000a_수정한 사람 dh.han 날짜 2024-03-28">
      <inputCells r="E9" val="0" numFmtId="41"/>
    </scenario>
    <scenario name="01배_0" locked="1" count="1" user="dh.han" comment="만든 사람 dh.han 날짜 2024-03-28_x000a_수정한 사람 dh.han 날짜 2024-03-28">
      <inputCells r="E10" val="0" numFmtId="41"/>
    </scenario>
    <scenario name="당첨_40배M" locked="1" count="1" user="dh.han" comment="만든 사람 dh.han 날짜 2024-03-28_x000a_수정한 사람 dh.han 날짜 2024-03-28">
      <inputCells r="F13" val="40배-Mega"/>
    </scenario>
    <scenario name="당첨_40배J" locked="1" count="1" user="dh.han" comment="만든 사람 dh.han 날짜 2024-03-28_x000a_수정한 사람 dh.han 날짜 2024-03-28">
      <inputCells r="F13" val="40배-Joker"/>
    </scenario>
    <scenario name="당첨_20배" locked="1" count="1" user="dh.han" comment="만든 사람 dh.han 날짜 2024-03-28">
      <inputCells r="F13" val="20배"/>
    </scenario>
    <scenario name="당첨_10배" locked="1" count="1" user="dh.han" comment="만든 사람 dh.han 날짜 2024-03-28_x000a_수정한 사람 dh.han 날짜 2024-03-28">
      <inputCells r="F13" val="10배"/>
    </scenario>
    <scenario name="당첨_05배" locked="1" count="1" user="dh.han" comment="만든 사람 dh.han 날짜 2024-03-28_x000a_수정한 사람 dh.han 날짜 2024-03-28">
      <inputCells r="F13" val="5배"/>
    </scenario>
    <scenario name="당첨_01배" locked="1" count="1" user="dh.han" comment="만든 사람 dh.han 날짜 2024-03-28_x000a_수정한 사람 dh.han 날짜 2024-03-28">
      <inputCells r="F13" val="1배"/>
    </scenario>
    <scenario name="당첨_02배" locked="1" count="1" user="dh.han" comment="만든 사람 dh.han 날짜 2024-03-28_x000a_수정한 사람 dh.han 날짜 2024-03-28">
      <inputCells r="F13" val="2배"/>
    </scenario>
    <scenario name="10배_0" locked="1" count="1" user="dh.han" comment="만든 사람 dh.han 날짜 2024-03-28">
      <inputCells r="E7" val="0"/>
    </scenario>
    <scenario name="10배_1000" locked="1" count="1" user="dh.han" comment="만든 사람 dh.han 날짜 2024-03-28">
      <inputCells r="E7" val="1000"/>
    </scenario>
    <scenario name="10배_2000" locked="1" count="1" user="dh.han" comment="만든 사람 dh.han 날짜 2024-03-28">
      <inputCells r="E7" val="2000"/>
    </scenario>
    <scenario name="10배_3000" locked="1" count="1" user="dh.han" comment="만든 사람 dh.han 날짜 2024-03-28">
      <inputCells r="E7" val="3000"/>
    </scenario>
    <scenario name="10배_4000" locked="1" count="1" user="dh.han" comment="만든 사람 dh.han 날짜 2024-03-28">
      <inputCells r="E7" val="4000"/>
    </scenario>
    <scenario name="01배_5000" locked="1" count="1" user="dh.han" comment="만든 사람 dh.han 날짜 2024-04-01">
      <inputCells r="E10" val="5000" numFmtId="41"/>
    </scenario>
    <scenario name="01배_6000" locked="1" count="1" user="dh.han" comment="만든 사람 dh.han 날짜 2024-04-01">
      <inputCells r="E10" val="6000" numFmtId="41"/>
    </scenario>
    <scenario name="01배_7000" locked="1" count="1" user="dh.han" comment="만든 사람 dh.han 날짜 2024-04-01">
      <inputCells r="E10" val="7000" numFmtId="41"/>
    </scenario>
    <scenario name="01배_8000" locked="1" count="1" user="dh.han" comment="만든 사람 dh.han 날짜 2024-04-01">
      <inputCells r="E10" val="8000" numFmtId="41"/>
    </scenario>
    <scenario name="01배_9000" locked="1" count="1" user="dh.han" comment="만든 사람 dh.han 날짜 2024-04-01">
      <inputCells r="E10" val="9000" numFmtId="41"/>
    </scenario>
    <scenario name="02배_5000" locked="1" count="1" user="dh.han" comment="만든 사람 dh.han 날짜 2024-04-01">
      <inputCells r="E9" val="5000" numFmtId="41"/>
    </scenario>
    <scenario name="02배_6000" locked="1" count="1" user="dh.han" comment="만든 사람 dh.han 날짜 2024-04-01">
      <inputCells r="E9" val="6000" numFmtId="41"/>
    </scenario>
    <scenario name="02배_7000" locked="1" count="1" user="dh.han" comment="만든 사람 dh.han 날짜 2024-04-01">
      <inputCells r="E9" val="7000" numFmtId="41"/>
    </scenario>
    <scenario name="02배_8000" locked="1" count="1" user="dh.han" comment="만든 사람 dh.han 날짜 2024-04-01">
      <inputCells r="E9" val="8000" numFmtId="41"/>
    </scenario>
    <scenario name="02배_9000" locked="1" count="1" user="dh.han" comment="만든 사람 dh.han 날짜 2024-04-01">
      <inputCells r="E9" val="9000" numFmtId="41"/>
    </scenario>
  </scenarios>
  <phoneticPr fontId="2" type="noConversion"/>
  <conditionalFormatting sqref="I11">
    <cfRule type="expression" dxfId="1" priority="1">
      <formula>$I$11&gt;0</formula>
    </cfRule>
    <cfRule type="expression" dxfId="0" priority="2">
      <formula>$I$11&lt;0</formula>
    </cfRule>
  </conditionalFormatting>
  <dataValidations count="1">
    <dataValidation type="list" allowBlank="1" showInputMessage="1" showErrorMessage="1" sqref="F13" xr:uid="{AFA5DE1B-6CDC-4BA8-A0FC-771F0EA8CFB3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3" name="Button 16">
              <controlPr defaultSize="0" print="0" autoFill="0" autoPict="0" macro="[0]!RunBigWheel_Click">
                <anchor moveWithCells="1" sizeWithCells="1">
                  <from>
                    <xdr:col>7</xdr:col>
                    <xdr:colOff>0</xdr:colOff>
                    <xdr:row>11</xdr:row>
                    <xdr:rowOff>219075</xdr:rowOff>
                  </from>
                  <to>
                    <xdr:col>9</xdr:col>
                    <xdr:colOff>0</xdr:colOff>
                    <xdr:row>13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8</vt:i4>
      </vt:variant>
    </vt:vector>
  </HeadingPairs>
  <TitlesOfParts>
    <vt:vector size="11" baseType="lpstr">
      <vt:lpstr>시나리오 피벗 테이블 2</vt:lpstr>
      <vt:lpstr>시나리오 피벗 테이블 3</vt:lpstr>
      <vt:lpstr>Sheet1</vt:lpstr>
      <vt:lpstr>당첨</vt:lpstr>
      <vt:lpstr>배팅금액_10배수</vt:lpstr>
      <vt:lpstr>배팅금액_20배수</vt:lpstr>
      <vt:lpstr>배팅금액_2배수</vt:lpstr>
      <vt:lpstr>배팅금액_40배수J</vt:lpstr>
      <vt:lpstr>배팅금액_40배수M</vt:lpstr>
      <vt:lpstr>배팅금액_5배수</vt:lpstr>
      <vt:lpstr>베팅금액_1배수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DONG-HEE HAN</dc:creator>
  <cp:lastModifiedBy>DONG-HEE HAN</cp:lastModifiedBy>
  <dcterms:created xsi:type="dcterms:W3CDTF">2024-03-26T06:21:56Z</dcterms:created>
  <dcterms:modified xsi:type="dcterms:W3CDTF">2024-12-12T07:15:55Z</dcterms:modified>
</cp:coreProperties>
</file>